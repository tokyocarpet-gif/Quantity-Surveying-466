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-4\Box\【基本】Excel\"/>
    </mc:Choice>
  </mc:AlternateContent>
  <xr:revisionPtr revIDLastSave="0" documentId="13_ncr:1_{B758E298-0A26-474F-A8B9-911D49442821}" xr6:coauthVersionLast="47" xr6:coauthVersionMax="47" xr10:uidLastSave="{00000000-0000-0000-0000-000000000000}"/>
  <bookViews>
    <workbookView xWindow="-120" yWindow="-120" windowWidth="29040" windowHeight="15720" xr2:uid="{3FED3C94-5D07-4FC9-9927-EED4C83E9AF2}"/>
  </bookViews>
  <sheets>
    <sheet name="表紙" sheetId="1" r:id="rId1"/>
    <sheet name="内訳書" sheetId="12" r:id="rId2"/>
    <sheet name="マスタ" sheetId="7" r:id="rId3"/>
  </sheets>
  <definedNames>
    <definedName name="_msoanchor_1" localSheetId="0">表紙!$I$7</definedName>
    <definedName name="_msoanchor_2" localSheetId="0">表紙!#REF!</definedName>
    <definedName name="_msocom_1" localSheetId="0">表紙!$A$36</definedName>
    <definedName name="_xlnm.Print_Area" localSheetId="1">内訳書!$A$1:$K$75</definedName>
    <definedName name="_xlnm.Print_Area" localSheetId="0">表紙!$A$1:$K$36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9" i="12" l="1"/>
  <c r="I148" i="12"/>
  <c r="I147" i="12"/>
  <c r="I146" i="12"/>
  <c r="I145" i="12"/>
  <c r="I144" i="12"/>
  <c r="I143" i="12"/>
  <c r="I142" i="12"/>
  <c r="I141" i="12"/>
  <c r="I140" i="12"/>
  <c r="I139" i="12"/>
  <c r="I138" i="12"/>
  <c r="I137" i="12"/>
  <c r="I136" i="12"/>
  <c r="I135" i="12"/>
  <c r="I134" i="12"/>
  <c r="I133" i="12"/>
  <c r="I132" i="12"/>
  <c r="I131" i="12"/>
  <c r="I130" i="12"/>
  <c r="I129" i="12"/>
  <c r="I128" i="12"/>
  <c r="I124" i="12"/>
  <c r="I123" i="12"/>
  <c r="I122" i="12"/>
  <c r="I121" i="12"/>
  <c r="I120" i="12"/>
  <c r="I119" i="12"/>
  <c r="I118" i="12"/>
  <c r="I117" i="12"/>
  <c r="I116" i="12"/>
  <c r="I115" i="12"/>
  <c r="I114" i="12"/>
  <c r="I113" i="12"/>
  <c r="I112" i="12"/>
  <c r="I111" i="12"/>
  <c r="I110" i="12"/>
  <c r="I109" i="12"/>
  <c r="I108" i="12"/>
  <c r="I107" i="12"/>
  <c r="I106" i="12"/>
  <c r="I105" i="12"/>
  <c r="I104" i="12"/>
  <c r="I103" i="12"/>
  <c r="I99" i="12"/>
  <c r="I98" i="12"/>
  <c r="I97" i="12"/>
  <c r="I96" i="12"/>
  <c r="I95" i="12"/>
  <c r="I94" i="12"/>
  <c r="I93" i="12"/>
  <c r="I92" i="12"/>
  <c r="I91" i="12"/>
  <c r="I90" i="12"/>
  <c r="I89" i="12"/>
  <c r="I88" i="12"/>
  <c r="I87" i="12"/>
  <c r="I86" i="12"/>
  <c r="I85" i="12"/>
  <c r="I84" i="12"/>
  <c r="I83" i="12"/>
  <c r="I82" i="12"/>
  <c r="I81" i="12"/>
  <c r="I80" i="12"/>
  <c r="I79" i="12"/>
  <c r="I78" i="12"/>
  <c r="I74" i="12"/>
  <c r="I73" i="12"/>
  <c r="I72" i="12"/>
  <c r="I71" i="12"/>
  <c r="I70" i="12"/>
  <c r="I69" i="12"/>
  <c r="I68" i="12"/>
  <c r="I67" i="12"/>
  <c r="I66" i="12"/>
  <c r="I65" i="12"/>
  <c r="I64" i="12"/>
  <c r="I63" i="12"/>
  <c r="I62" i="12"/>
  <c r="I61" i="12"/>
  <c r="I60" i="12"/>
  <c r="I59" i="12"/>
  <c r="I58" i="12"/>
  <c r="I57" i="12"/>
  <c r="I56" i="12"/>
  <c r="I55" i="12"/>
  <c r="I54" i="12"/>
  <c r="I53" i="12"/>
  <c r="I49" i="12"/>
  <c r="I48" i="12"/>
  <c r="I47" i="12"/>
  <c r="I46" i="12"/>
  <c r="I45" i="12"/>
  <c r="I44" i="12"/>
  <c r="I43" i="12"/>
  <c r="I42" i="12"/>
  <c r="I41" i="12"/>
  <c r="I40" i="12"/>
  <c r="I39" i="12"/>
  <c r="I38" i="12"/>
  <c r="I37" i="12"/>
  <c r="I36" i="12"/>
  <c r="I35" i="12"/>
  <c r="I34" i="12"/>
  <c r="I33" i="12"/>
  <c r="I32" i="12"/>
  <c r="I31" i="12"/>
  <c r="I30" i="12"/>
  <c r="I50" i="12" s="1"/>
  <c r="I29" i="12"/>
  <c r="I28" i="12"/>
  <c r="C126" i="12"/>
  <c r="C101" i="12"/>
  <c r="C76" i="12"/>
  <c r="C51" i="12"/>
  <c r="C26" i="12"/>
  <c r="I24" i="12"/>
  <c r="I23" i="12"/>
  <c r="I22" i="12"/>
  <c r="I21" i="12"/>
  <c r="I20" i="12"/>
  <c r="I19" i="12"/>
  <c r="I18" i="12"/>
  <c r="I17" i="12"/>
  <c r="I16" i="12"/>
  <c r="I15" i="12"/>
  <c r="I14" i="12"/>
  <c r="I13" i="12"/>
  <c r="I12" i="12"/>
  <c r="I11" i="12"/>
  <c r="I10" i="12"/>
  <c r="I9" i="12"/>
  <c r="I8" i="12"/>
  <c r="I7" i="12"/>
  <c r="I6" i="12"/>
  <c r="I5" i="12"/>
  <c r="I4" i="12"/>
  <c r="I3" i="12"/>
  <c r="C1" i="12"/>
  <c r="I28" i="1"/>
  <c r="I23" i="1"/>
  <c r="I25" i="1"/>
  <c r="I26" i="1"/>
  <c r="I27" i="1"/>
  <c r="I29" i="1"/>
  <c r="I32" i="1"/>
  <c r="I31" i="1"/>
  <c r="I30" i="1"/>
  <c r="I7" i="1"/>
  <c r="I22" i="1"/>
  <c r="I24" i="1"/>
  <c r="I75" i="12" l="1"/>
  <c r="I100" i="12"/>
  <c r="I150" i="12"/>
  <c r="I25" i="12"/>
  <c r="I125" i="12"/>
  <c r="I33" i="1"/>
  <c r="C12" i="1" s="1"/>
</calcChain>
</file>

<file path=xl/sharedStrings.xml><?xml version="1.0" encoding="utf-8"?>
<sst xmlns="http://schemas.openxmlformats.org/spreadsheetml/2006/main" count="147" uniqueCount="89">
  <si>
    <t>御 見 積 書</t>
  </si>
  <si>
    <t>　　下記の通り御見積致しますので宜しくお願い申し上げます。</t>
  </si>
  <si>
    <t xml:space="preserve">     </t>
  </si>
  <si>
    <t>合 計</t>
  </si>
  <si>
    <t>見積有効期限</t>
  </si>
  <si>
    <t>取 引 条 件</t>
  </si>
  <si>
    <t>別途ご相談の上決定</t>
  </si>
  <si>
    <t>品　　名</t>
  </si>
  <si>
    <t>仕様・規格・寸法</t>
  </si>
  <si>
    <t>単位</t>
  </si>
  <si>
    <t>金額</t>
  </si>
  <si>
    <t>備考</t>
  </si>
  <si>
    <t>　備　考</t>
  </si>
  <si>
    <t>※上記価格には消費税は含まれておりません。</t>
  </si>
  <si>
    <t>東京カーペット加工 株式会社</t>
    <rPh sb="0" eb="2">
      <t>トウキョウ</t>
    </rPh>
    <rPh sb="7" eb="9">
      <t>カコウ</t>
    </rPh>
    <rPh sb="10" eb="14">
      <t>カブシキガイシャ</t>
    </rPh>
    <phoneticPr fontId="8"/>
  </si>
  <si>
    <t>工　事　名</t>
    <rPh sb="0" eb="1">
      <t>コウ</t>
    </rPh>
    <rPh sb="2" eb="3">
      <t>コト</t>
    </rPh>
    <rPh sb="4" eb="5">
      <t>メイ</t>
    </rPh>
    <phoneticPr fontId="8"/>
  </si>
  <si>
    <t>内　訳　明　細　書</t>
    <rPh sb="0" eb="1">
      <t>ウチ</t>
    </rPh>
    <rPh sb="2" eb="3">
      <t>ヤク</t>
    </rPh>
    <rPh sb="4" eb="5">
      <t>メイ</t>
    </rPh>
    <rPh sb="6" eb="7">
      <t>サイ</t>
    </rPh>
    <rPh sb="8" eb="9">
      <t>ショ</t>
    </rPh>
    <phoneticPr fontId="8"/>
  </si>
  <si>
    <t>計</t>
    <rPh sb="0" eb="1">
      <t>ケイ</t>
    </rPh>
    <phoneticPr fontId="8"/>
  </si>
  <si>
    <t xml:space="preserve"> </t>
    <phoneticPr fontId="8"/>
  </si>
  <si>
    <t>御中</t>
    <rPh sb="0" eb="2">
      <t>オンチュウ</t>
    </rPh>
    <phoneticPr fontId="8"/>
  </si>
  <si>
    <t>消防庁認定第12703号</t>
    <rPh sb="0" eb="3">
      <t>ショウボウチョウ</t>
    </rPh>
    <rPh sb="3" eb="5">
      <t>ニンテイ</t>
    </rPh>
    <rPh sb="5" eb="6">
      <t>ダイ</t>
    </rPh>
    <rPh sb="11" eb="12">
      <t>ゴウ</t>
    </rPh>
    <phoneticPr fontId="8"/>
  </si>
  <si>
    <t>単位</t>
    <rPh sb="0" eb="2">
      <t>タンイ</t>
    </rPh>
    <phoneticPr fontId="8"/>
  </si>
  <si>
    <t>仕様1</t>
    <rPh sb="0" eb="2">
      <t>シヨウ</t>
    </rPh>
    <phoneticPr fontId="8"/>
  </si>
  <si>
    <t>仕様2</t>
    <rPh sb="0" eb="2">
      <t>シヨウ</t>
    </rPh>
    <phoneticPr fontId="8"/>
  </si>
  <si>
    <t>仕様3</t>
    <rPh sb="0" eb="2">
      <t>シヨウ</t>
    </rPh>
    <phoneticPr fontId="8"/>
  </si>
  <si>
    <t>エントランス</t>
    <phoneticPr fontId="8"/>
  </si>
  <si>
    <t>㎡</t>
    <phoneticPr fontId="8"/>
  </si>
  <si>
    <t>ｍ</t>
    <phoneticPr fontId="8"/>
  </si>
  <si>
    <t>ヶ所</t>
    <rPh sb="1" eb="2">
      <t>ショ</t>
    </rPh>
    <phoneticPr fontId="8"/>
  </si>
  <si>
    <t>式</t>
    <rPh sb="0" eb="1">
      <t>シキ</t>
    </rPh>
    <phoneticPr fontId="8"/>
  </si>
  <si>
    <t>枚</t>
    <rPh sb="0" eb="1">
      <t>マイ</t>
    </rPh>
    <phoneticPr fontId="8"/>
  </si>
  <si>
    <t>箱</t>
    <rPh sb="0" eb="1">
      <t>ハコ</t>
    </rPh>
    <phoneticPr fontId="8"/>
  </si>
  <si>
    <t>本</t>
    <rPh sb="0" eb="1">
      <t>ホン</t>
    </rPh>
    <phoneticPr fontId="8"/>
  </si>
  <si>
    <t>組</t>
    <rPh sb="0" eb="1">
      <t>クミ</t>
    </rPh>
    <phoneticPr fontId="8"/>
  </si>
  <si>
    <t>台</t>
    <rPh sb="0" eb="1">
      <t>ダイ</t>
    </rPh>
    <phoneticPr fontId="8"/>
  </si>
  <si>
    <t>ヶ</t>
    <phoneticPr fontId="8"/>
  </si>
  <si>
    <t>ケース</t>
    <phoneticPr fontId="8"/>
  </si>
  <si>
    <t>セット</t>
    <phoneticPr fontId="8"/>
  </si>
  <si>
    <t>段</t>
    <rPh sb="0" eb="1">
      <t>ダン</t>
    </rPh>
    <phoneticPr fontId="8"/>
  </si>
  <si>
    <t>窓</t>
    <rPh sb="0" eb="1">
      <t>マド</t>
    </rPh>
    <phoneticPr fontId="8"/>
  </si>
  <si>
    <t>人工</t>
    <rPh sb="0" eb="2">
      <t>ニンク</t>
    </rPh>
    <phoneticPr fontId="8"/>
  </si>
  <si>
    <t>通路</t>
    <rPh sb="0" eb="2">
      <t>ツウロ</t>
    </rPh>
    <phoneticPr fontId="8"/>
  </si>
  <si>
    <t>接客スペース</t>
    <rPh sb="0" eb="2">
      <t>セッキャク</t>
    </rPh>
    <phoneticPr fontId="8"/>
  </si>
  <si>
    <t>接客個室</t>
    <rPh sb="0" eb="4">
      <t>セッキャクコシツ</t>
    </rPh>
    <phoneticPr fontId="8"/>
  </si>
  <si>
    <t>模型室</t>
    <rPh sb="0" eb="3">
      <t>モケイシツ</t>
    </rPh>
    <phoneticPr fontId="8"/>
  </si>
  <si>
    <t>模型・展示スペース</t>
    <rPh sb="0" eb="2">
      <t>モケイ</t>
    </rPh>
    <rPh sb="3" eb="5">
      <t>テンジ</t>
    </rPh>
    <phoneticPr fontId="8"/>
  </si>
  <si>
    <t>展示スペース</t>
    <rPh sb="0" eb="2">
      <t>テンジ</t>
    </rPh>
    <phoneticPr fontId="8"/>
  </si>
  <si>
    <t>事務所・倉庫</t>
    <rPh sb="0" eb="3">
      <t>ジムショ</t>
    </rPh>
    <rPh sb="4" eb="6">
      <t>ソウコ</t>
    </rPh>
    <phoneticPr fontId="8"/>
  </si>
  <si>
    <t>事務所</t>
    <rPh sb="0" eb="2">
      <t>ジム</t>
    </rPh>
    <rPh sb="2" eb="3">
      <t>ショ</t>
    </rPh>
    <phoneticPr fontId="8"/>
  </si>
  <si>
    <t>倉庫</t>
    <rPh sb="0" eb="2">
      <t>ソウコ</t>
    </rPh>
    <phoneticPr fontId="8"/>
  </si>
  <si>
    <t>トイレ</t>
    <phoneticPr fontId="8"/>
  </si>
  <si>
    <t>男子トイレ</t>
    <rPh sb="0" eb="2">
      <t>ダンシ</t>
    </rPh>
    <phoneticPr fontId="8"/>
  </si>
  <si>
    <t>女子トイレ</t>
    <rPh sb="0" eb="2">
      <t>ジョシ</t>
    </rPh>
    <phoneticPr fontId="8"/>
  </si>
  <si>
    <t>天井</t>
    <rPh sb="0" eb="2">
      <t>テンジョウ</t>
    </rPh>
    <phoneticPr fontId="8"/>
  </si>
  <si>
    <t>壁</t>
    <rPh sb="0" eb="1">
      <t>カベ</t>
    </rPh>
    <phoneticPr fontId="8"/>
  </si>
  <si>
    <t>天井・壁</t>
    <rPh sb="0" eb="2">
      <t>テンジョウ</t>
    </rPh>
    <rPh sb="3" eb="4">
      <t>カベ</t>
    </rPh>
    <phoneticPr fontId="8"/>
  </si>
  <si>
    <t>折り上げ天井</t>
    <rPh sb="0" eb="1">
      <t>オ</t>
    </rPh>
    <rPh sb="2" eb="3">
      <t>ア</t>
    </rPh>
    <rPh sb="4" eb="6">
      <t>テンジョウ</t>
    </rPh>
    <phoneticPr fontId="8"/>
  </si>
  <si>
    <t>アクセント壁</t>
    <rPh sb="5" eb="6">
      <t>カベ</t>
    </rPh>
    <phoneticPr fontId="8"/>
  </si>
  <si>
    <t>アクセント天井</t>
    <rPh sb="5" eb="7">
      <t>テンジョウ</t>
    </rPh>
    <phoneticPr fontId="8"/>
  </si>
  <si>
    <t>巾木</t>
    <rPh sb="0" eb="2">
      <t>ハバキ</t>
    </rPh>
    <phoneticPr fontId="8"/>
  </si>
  <si>
    <t>床</t>
    <rPh sb="0" eb="1">
      <t>ユカ</t>
    </rPh>
    <phoneticPr fontId="8"/>
  </si>
  <si>
    <t>折り下げ天井</t>
    <rPh sb="0" eb="1">
      <t>オ</t>
    </rPh>
    <rPh sb="2" eb="3">
      <t>サ</t>
    </rPh>
    <rPh sb="4" eb="6">
      <t>テンジョウ</t>
    </rPh>
    <phoneticPr fontId="8"/>
  </si>
  <si>
    <t>アクセント柱</t>
    <rPh sb="5" eb="6">
      <t>ハシラ</t>
    </rPh>
    <phoneticPr fontId="8"/>
  </si>
  <si>
    <t>柱</t>
    <rPh sb="0" eb="1">
      <t>ハシラ</t>
    </rPh>
    <phoneticPr fontId="8"/>
  </si>
  <si>
    <t>サンゲツ</t>
    <phoneticPr fontId="8"/>
  </si>
  <si>
    <t>リリカラ</t>
    <phoneticPr fontId="8"/>
  </si>
  <si>
    <t>東リ</t>
    <rPh sb="0" eb="1">
      <t>トウ</t>
    </rPh>
    <phoneticPr fontId="8"/>
  </si>
  <si>
    <t>シンコール</t>
    <phoneticPr fontId="8"/>
  </si>
  <si>
    <t>ルノン</t>
    <phoneticPr fontId="8"/>
  </si>
  <si>
    <t>トキワ</t>
    <phoneticPr fontId="8"/>
  </si>
  <si>
    <t>トミタ</t>
    <phoneticPr fontId="8"/>
  </si>
  <si>
    <t>テシード</t>
    <phoneticPr fontId="8"/>
  </si>
  <si>
    <t>マナトレーディング</t>
    <phoneticPr fontId="8"/>
  </si>
  <si>
    <t>旭興</t>
    <rPh sb="0" eb="2">
      <t>キョッコウ</t>
    </rPh>
    <phoneticPr fontId="8"/>
  </si>
  <si>
    <t>東京都知事許可（般2）第12226号</t>
  </si>
  <si>
    <t>東京カーペット加工㈱　　　１</t>
    <rPh sb="0" eb="2">
      <t>トウキョウ</t>
    </rPh>
    <rPh sb="7" eb="9">
      <t>カコウ</t>
    </rPh>
    <phoneticPr fontId="8"/>
  </si>
  <si>
    <t>工事概要</t>
    <rPh sb="0" eb="4">
      <t>コウジガイヨウ</t>
    </rPh>
    <phoneticPr fontId="8"/>
  </si>
  <si>
    <t>1ヶ月間</t>
    <phoneticPr fontId="8"/>
  </si>
  <si>
    <t>〒130-0012</t>
    <phoneticPr fontId="8"/>
  </si>
  <si>
    <t>東京都墨田区太平4-6-6</t>
    <phoneticPr fontId="8"/>
  </si>
  <si>
    <t>ＴＥＬ03-3625-4169　ＦＡＸ03-3626-2669</t>
    <phoneticPr fontId="8"/>
  </si>
  <si>
    <t>数量</t>
    <rPh sb="0" eb="2">
      <t>スウリョウ</t>
    </rPh>
    <phoneticPr fontId="8"/>
  </si>
  <si>
    <t>東京カーペット加工㈱　　　2</t>
    <rPh sb="0" eb="2">
      <t>トウキョウ</t>
    </rPh>
    <rPh sb="7" eb="9">
      <t>カコウ</t>
    </rPh>
    <phoneticPr fontId="8"/>
  </si>
  <si>
    <t>東京カーペット加工㈱　　　3</t>
    <rPh sb="0" eb="2">
      <t>トウキョウ</t>
    </rPh>
    <rPh sb="7" eb="9">
      <t>カコウ</t>
    </rPh>
    <phoneticPr fontId="8"/>
  </si>
  <si>
    <t>東京カーペット加工㈱　　　4</t>
    <rPh sb="0" eb="2">
      <t>トウキョウ</t>
    </rPh>
    <rPh sb="7" eb="9">
      <t>カコウ</t>
    </rPh>
    <phoneticPr fontId="8"/>
  </si>
  <si>
    <t>東京カーペット加工㈱　　　5</t>
    <rPh sb="0" eb="2">
      <t>トウキョウ</t>
    </rPh>
    <rPh sb="7" eb="9">
      <t>カコウ</t>
    </rPh>
    <phoneticPr fontId="8"/>
  </si>
  <si>
    <t>東京カーペット加工㈱　　　6</t>
    <rPh sb="0" eb="2">
      <t>トウキョウ</t>
    </rPh>
    <rPh sb="7" eb="9">
      <t>カコウ</t>
    </rPh>
    <phoneticPr fontId="8"/>
  </si>
  <si>
    <t>合計</t>
    <rPh sb="0" eb="2">
      <t>ゴウケイ</t>
    </rPh>
    <phoneticPr fontId="8"/>
  </si>
  <si>
    <t>単価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</si>
</sst>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¥&quot;#,##0;[Red]&quot;¥&quot;\-#,##0"/>
    <numFmt numFmtId="176" formatCode="&quot;¥&quot;#,##0_);[Red]\(&quot;¥&quot;#,##0\)"/>
    <numFmt numFmtId="177" formatCode="#,##0_ "/>
    <numFmt numFmtId="178" formatCode="&quot;¥&quot;#,##0.00_);[Red]\(&quot;¥&quot;#,##0.00\)"/>
    <numFmt numFmtId="179" formatCode="#,##0.0_ "/>
    <numFmt numFmtId="180" formatCode="&quot;¥&quot;#,##0_);\(&quot;¥&quot;#,##0\)"/>
    <numFmt numFmtId="181" formatCode="yyyy&quot;年&quot;m&quot;月&quot;d&quot;日&quot;;@"/>
    <numFmt numFmtId="182" formatCode="#,##0_);\(#,##0\)"/>
    <numFmt numFmtId="183" formatCode="0.0_);\(0.0\)"/>
  </numFmts>
  <fonts count="17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10"/>
      <name val="MS Sans Serif"/>
      <family val="2"/>
    </font>
    <font>
      <b/>
      <sz val="28"/>
      <name val="ＭＳ 明朝"/>
      <family val="1"/>
      <charset val="128"/>
    </font>
    <font>
      <sz val="14"/>
      <name val="MS Sans Serif"/>
      <family val="2"/>
    </font>
    <font>
      <u/>
      <sz val="11"/>
      <color indexed="12"/>
      <name val="ＭＳ Ｐゴシック"/>
      <family val="3"/>
      <charset val="128"/>
    </font>
    <font>
      <sz val="6"/>
      <name val="ＭＳ Ｐゴシック"/>
      <family val="3"/>
      <charset val="128"/>
    </font>
    <font>
      <sz val="10.5"/>
      <name val="ＭＳ 明朝"/>
      <family val="1"/>
      <charset val="128"/>
    </font>
    <font>
      <sz val="12"/>
      <name val="ＭＳ 明朝"/>
      <family val="1"/>
      <charset val="128"/>
    </font>
    <font>
      <sz val="16"/>
      <name val="ＭＳ 明朝"/>
      <family val="1"/>
      <charset val="128"/>
    </font>
    <font>
      <u/>
      <sz val="11"/>
      <color indexed="12"/>
      <name val="ＭＳ 明朝"/>
      <family val="1"/>
      <charset val="128"/>
    </font>
    <font>
      <sz val="18"/>
      <name val="ＭＳ 明朝"/>
      <family val="1"/>
      <charset val="128"/>
    </font>
    <font>
      <b/>
      <sz val="16"/>
      <name val="ＭＳ 明朝"/>
      <family val="1"/>
      <charset val="128"/>
    </font>
    <font>
      <sz val="14"/>
      <name val="ＭＳ 明朝"/>
      <family val="1"/>
      <charset val="128"/>
    </font>
    <font>
      <sz val="12"/>
      <color indexed="26"/>
      <name val="ＭＳ 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double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8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</borders>
  <cellStyleXfs count="3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  <xf numFmtId="38" fontId="1" fillId="0" borderId="0" applyFont="0" applyFill="0" applyBorder="0" applyAlignment="0" applyProtection="0">
      <alignment vertical="center"/>
    </xf>
  </cellStyleXfs>
  <cellXfs count="153">
    <xf numFmtId="0" fontId="0" fillId="0" borderId="0" xfId="0">
      <alignment vertical="center"/>
    </xf>
    <xf numFmtId="0" fontId="4" fillId="0" borderId="0" xfId="0" applyFont="1" applyAlignment="1"/>
    <xf numFmtId="0" fontId="5" fillId="0" borderId="0" xfId="0" applyFont="1" applyAlignment="1">
      <alignment horizontal="left" vertical="top"/>
    </xf>
    <xf numFmtId="0" fontId="6" fillId="0" borderId="0" xfId="0" applyFont="1" applyAlignment="1"/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shrinkToFit="1"/>
    </xf>
    <xf numFmtId="0" fontId="2" fillId="0" borderId="0" xfId="0" applyFont="1" applyAlignment="1">
      <alignment horizontal="left" vertical="center" shrinkToFit="1"/>
    </xf>
    <xf numFmtId="0" fontId="3" fillId="0" borderId="0" xfId="0" applyFont="1" applyAlignment="1">
      <alignment horizontal="center" vertical="center" shrinkToFit="1"/>
    </xf>
    <xf numFmtId="0" fontId="3" fillId="0" borderId="0" xfId="0" applyFont="1" applyAlignment="1">
      <alignment horizontal="left" vertical="center" shrinkToFit="1"/>
    </xf>
    <xf numFmtId="0" fontId="2" fillId="0" borderId="0" xfId="0" applyFont="1" applyAlignment="1">
      <alignment horizontal="center" vertical="center"/>
    </xf>
    <xf numFmtId="0" fontId="3" fillId="0" borderId="1" xfId="0" applyFont="1" applyBorder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>
      <alignment vertical="center"/>
    </xf>
    <xf numFmtId="0" fontId="10" fillId="0" borderId="2" xfId="0" applyFont="1" applyBorder="1" applyAlignment="1">
      <alignment horizontal="right"/>
    </xf>
    <xf numFmtId="0" fontId="10" fillId="0" borderId="8" xfId="0" applyFont="1" applyBorder="1" applyAlignment="1" applyProtection="1">
      <alignment horizontal="center"/>
      <protection locked="0"/>
    </xf>
    <xf numFmtId="0" fontId="3" fillId="0" borderId="3" xfId="0" applyFont="1" applyBorder="1">
      <alignment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3" fillId="0" borderId="4" xfId="0" applyFont="1" applyBorder="1" applyAlignment="1" applyProtection="1">
      <alignment horizontal="centerContinuous" vertical="center"/>
      <protection locked="0"/>
    </xf>
    <xf numFmtId="14" fontId="12" fillId="0" borderId="0" xfId="1" applyNumberFormat="1" applyFont="1" applyAlignment="1">
      <alignment horizontal="center" vertical="center"/>
      <protection locked="0"/>
    </xf>
    <xf numFmtId="0" fontId="13" fillId="0" borderId="0" xfId="0" applyFont="1" applyProtection="1">
      <alignment vertical="center"/>
      <protection locked="0"/>
    </xf>
    <xf numFmtId="0" fontId="10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10" fillId="0" borderId="4" xfId="0" applyFont="1" applyBorder="1">
      <alignment vertical="center"/>
    </xf>
    <xf numFmtId="0" fontId="14" fillId="0" borderId="7" xfId="0" applyFont="1" applyBorder="1" applyAlignment="1">
      <alignment horizontal="center"/>
    </xf>
    <xf numFmtId="177" fontId="10" fillId="0" borderId="0" xfId="0" applyNumberFormat="1" applyFont="1" applyAlignment="1" applyProtection="1">
      <alignment horizontal="left" vertical="center"/>
      <protection locked="0"/>
    </xf>
    <xf numFmtId="0" fontId="10" fillId="0" borderId="0" xfId="0" applyFont="1" applyProtection="1">
      <alignment vertical="center"/>
      <protection locked="0"/>
    </xf>
    <xf numFmtId="0" fontId="15" fillId="0" borderId="0" xfId="0" applyFont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/>
    <xf numFmtId="0" fontId="15" fillId="0" borderId="0" xfId="0" applyFont="1" applyAlignment="1">
      <alignment horizontal="centerContinuous" vertical="center"/>
    </xf>
    <xf numFmtId="0" fontId="2" fillId="0" borderId="30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0" fillId="0" borderId="0" xfId="0" applyFont="1" applyAlignment="1">
      <alignment horizontal="centerContinuous" vertical="center"/>
    </xf>
    <xf numFmtId="0" fontId="3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3" fillId="0" borderId="5" xfId="0" applyFont="1" applyBorder="1" applyAlignment="1">
      <alignment horizontal="center" vertical="center"/>
    </xf>
    <xf numFmtId="0" fontId="10" fillId="0" borderId="0" xfId="0" applyFont="1" applyAlignment="1">
      <alignment horizontal="center" vertical="top"/>
    </xf>
    <xf numFmtId="0" fontId="2" fillId="0" borderId="4" xfId="0" applyFont="1" applyBorder="1">
      <alignment vertical="center"/>
    </xf>
    <xf numFmtId="0" fontId="3" fillId="0" borderId="6" xfId="0" applyFont="1" applyBorder="1" applyAlignment="1">
      <alignment horizontal="center" vertical="center"/>
    </xf>
    <xf numFmtId="14" fontId="3" fillId="0" borderId="11" xfId="0" applyNumberFormat="1" applyFont="1" applyBorder="1" applyAlignment="1" applyProtection="1">
      <alignment horizontal="left" vertical="center"/>
      <protection locked="0"/>
    </xf>
    <xf numFmtId="0" fontId="3" fillId="0" borderId="10" xfId="0" applyFont="1" applyBorder="1" applyProtection="1">
      <alignment vertical="center"/>
      <protection locked="0"/>
    </xf>
    <xf numFmtId="14" fontId="3" fillId="0" borderId="9" xfId="0" applyNumberFormat="1" applyFont="1" applyBorder="1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14" fontId="2" fillId="0" borderId="0" xfId="0" applyNumberFormat="1" applyFont="1" applyAlignment="1">
      <alignment horizontal="center" vertical="center"/>
    </xf>
    <xf numFmtId="0" fontId="16" fillId="0" borderId="0" xfId="0" applyFont="1">
      <alignment vertical="center"/>
    </xf>
    <xf numFmtId="0" fontId="2" fillId="0" borderId="12" xfId="0" applyFont="1" applyBorder="1" applyAlignment="1">
      <alignment horizontal="center" vertical="center"/>
    </xf>
    <xf numFmtId="178" fontId="2" fillId="3" borderId="25" xfId="0" applyNumberFormat="1" applyFont="1" applyFill="1" applyBorder="1" applyAlignment="1">
      <alignment horizontal="centerContinuous" vertical="center"/>
    </xf>
    <xf numFmtId="178" fontId="2" fillId="3" borderId="26" xfId="0" applyNumberFormat="1" applyFont="1" applyFill="1" applyBorder="1" applyAlignment="1">
      <alignment horizontal="centerContinuous" vertical="center"/>
    </xf>
    <xf numFmtId="178" fontId="2" fillId="3" borderId="27" xfId="0" applyNumberFormat="1" applyFont="1" applyFill="1" applyBorder="1" applyAlignment="1">
      <alignment horizontal="centerContinuous" vertical="center"/>
    </xf>
    <xf numFmtId="178" fontId="2" fillId="3" borderId="28" xfId="0" applyNumberFormat="1" applyFont="1" applyFill="1" applyBorder="1" applyAlignment="1">
      <alignment horizontal="centerContinuous" vertical="center"/>
    </xf>
    <xf numFmtId="178" fontId="2" fillId="3" borderId="29" xfId="0" applyNumberFormat="1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10" fillId="2" borderId="18" xfId="0" applyFont="1" applyFill="1" applyBorder="1" applyAlignment="1" applyProtection="1">
      <alignment horizontal="center" vertical="center"/>
      <protection locked="0"/>
    </xf>
    <xf numFmtId="37" fontId="3" fillId="2" borderId="12" xfId="0" applyNumberFormat="1" applyFont="1" applyFill="1" applyBorder="1" applyAlignment="1">
      <alignment horizontal="left" vertical="center"/>
    </xf>
    <xf numFmtId="180" fontId="3" fillId="2" borderId="12" xfId="0" applyNumberFormat="1" applyFont="1" applyFill="1" applyBorder="1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0" xfId="0" applyFont="1" applyProtection="1">
      <alignment vertical="center"/>
      <protection locked="0"/>
    </xf>
    <xf numFmtId="0" fontId="2" fillId="0" borderId="8" xfId="0" applyFont="1" applyBorder="1" applyProtection="1">
      <alignment vertical="center"/>
      <protection locked="0"/>
    </xf>
    <xf numFmtId="0" fontId="2" fillId="0" borderId="13" xfId="0" applyFont="1" applyBorder="1">
      <alignment vertical="center"/>
    </xf>
    <xf numFmtId="0" fontId="2" fillId="0" borderId="3" xfId="0" applyFont="1" applyBorder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8" xfId="0" applyFont="1" applyBorder="1">
      <alignment vertical="center"/>
    </xf>
    <xf numFmtId="0" fontId="2" fillId="0" borderId="6" xfId="0" applyFont="1" applyBorder="1" applyProtection="1">
      <alignment vertical="center"/>
      <protection locked="0"/>
    </xf>
    <xf numFmtId="0" fontId="2" fillId="0" borderId="7" xfId="0" applyFont="1" applyBorder="1" applyProtection="1">
      <alignment vertical="center"/>
      <protection locked="0"/>
    </xf>
    <xf numFmtId="0" fontId="2" fillId="0" borderId="7" xfId="0" applyFont="1" applyBorder="1" applyAlignment="1" applyProtection="1">
      <alignment horizontal="center" vertical="center"/>
      <protection locked="0"/>
    </xf>
    <xf numFmtId="0" fontId="2" fillId="0" borderId="7" xfId="0" applyFont="1" applyBorder="1">
      <alignment vertical="center"/>
    </xf>
    <xf numFmtId="0" fontId="2" fillId="0" borderId="12" xfId="0" applyFont="1" applyBorder="1">
      <alignment vertical="center"/>
    </xf>
    <xf numFmtId="0" fontId="12" fillId="0" borderId="0" xfId="1" applyFont="1" applyAlignment="1" applyProtection="1">
      <alignment horizontal="left" vertical="center"/>
    </xf>
    <xf numFmtId="0" fontId="2" fillId="3" borderId="45" xfId="0" applyFont="1" applyFill="1" applyBorder="1" applyAlignment="1">
      <alignment horizontal="centerContinuous" vertical="center"/>
    </xf>
    <xf numFmtId="0" fontId="2" fillId="3" borderId="46" xfId="0" applyFont="1" applyFill="1" applyBorder="1" applyAlignment="1">
      <alignment horizontal="centerContinuous" vertical="center"/>
    </xf>
    <xf numFmtId="0" fontId="2" fillId="3" borderId="17" xfId="0" applyFont="1" applyFill="1" applyBorder="1" applyAlignment="1">
      <alignment horizontal="centerContinuous" vertical="center"/>
    </xf>
    <xf numFmtId="0" fontId="2" fillId="3" borderId="47" xfId="0" applyFont="1" applyFill="1" applyBorder="1" applyAlignment="1">
      <alignment horizontal="centerContinuous" vertical="center"/>
    </xf>
    <xf numFmtId="0" fontId="2" fillId="3" borderId="48" xfId="0" applyFont="1" applyFill="1" applyBorder="1" applyAlignment="1">
      <alignment horizontal="centerContinuous" vertical="center"/>
    </xf>
    <xf numFmtId="0" fontId="2" fillId="3" borderId="49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right" vertical="center"/>
    </xf>
    <xf numFmtId="0" fontId="3" fillId="0" borderId="16" xfId="0" applyFont="1" applyBorder="1" applyAlignment="1">
      <alignment vertical="center" shrinkToFit="1"/>
    </xf>
    <xf numFmtId="0" fontId="3" fillId="0" borderId="42" xfId="0" applyFont="1" applyBorder="1" applyAlignment="1">
      <alignment horizontal="center" vertical="center"/>
    </xf>
    <xf numFmtId="0" fontId="3" fillId="0" borderId="21" xfId="0" applyFont="1" applyBorder="1" applyAlignment="1">
      <alignment horizontal="left" vertical="center" shrinkToFit="1"/>
    </xf>
    <xf numFmtId="0" fontId="3" fillId="0" borderId="15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16" xfId="0" applyFont="1" applyBorder="1" applyAlignment="1">
      <alignment vertical="center" shrinkToFit="1"/>
    </xf>
    <xf numFmtId="0" fontId="3" fillId="2" borderId="35" xfId="0" applyFont="1" applyFill="1" applyBorder="1" applyAlignment="1" applyProtection="1">
      <alignment horizontal="left" vertical="center" shrinkToFit="1"/>
      <protection locked="0"/>
    </xf>
    <xf numFmtId="0" fontId="3" fillId="2" borderId="31" xfId="0" applyFont="1" applyFill="1" applyBorder="1" applyAlignment="1" applyProtection="1">
      <alignment horizontal="left" vertical="center" shrinkToFit="1"/>
      <protection locked="0"/>
    </xf>
    <xf numFmtId="0" fontId="3" fillId="2" borderId="24" xfId="0" applyFont="1" applyFill="1" applyBorder="1" applyAlignment="1" applyProtection="1">
      <alignment horizontal="left" vertical="center" shrinkToFit="1"/>
      <protection locked="0"/>
    </xf>
    <xf numFmtId="0" fontId="3" fillId="2" borderId="22" xfId="0" applyFont="1" applyFill="1" applyBorder="1" applyAlignment="1" applyProtection="1">
      <alignment horizontal="right" vertical="center"/>
      <protection locked="0"/>
    </xf>
    <xf numFmtId="0" fontId="3" fillId="2" borderId="23" xfId="0" applyFont="1" applyFill="1" applyBorder="1" applyAlignment="1" applyProtection="1">
      <alignment horizontal="left" vertical="center"/>
      <protection locked="0"/>
    </xf>
    <xf numFmtId="0" fontId="3" fillId="2" borderId="19" xfId="0" applyFont="1" applyFill="1" applyBorder="1" applyAlignment="1" applyProtection="1">
      <alignment horizontal="left" vertical="center"/>
      <protection locked="0"/>
    </xf>
    <xf numFmtId="179" fontId="2" fillId="2" borderId="19" xfId="0" applyNumberFormat="1" applyFont="1" applyFill="1" applyBorder="1" applyAlignment="1" applyProtection="1">
      <alignment horizontal="right" vertical="center"/>
      <protection locked="0"/>
    </xf>
    <xf numFmtId="0" fontId="3" fillId="0" borderId="43" xfId="0" applyFont="1" applyBorder="1" applyAlignment="1">
      <alignment horizontal="left" vertical="center"/>
    </xf>
    <xf numFmtId="0" fontId="3" fillId="0" borderId="41" xfId="0" applyFont="1" applyBorder="1" applyAlignment="1">
      <alignment horizontal="right" vertical="center" shrinkToFit="1"/>
    </xf>
    <xf numFmtId="0" fontId="3" fillId="0" borderId="12" xfId="0" applyFont="1" applyBorder="1" applyAlignment="1">
      <alignment horizontal="right" vertical="center" shrinkToFit="1"/>
    </xf>
    <xf numFmtId="0" fontId="3" fillId="0" borderId="40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 shrinkToFit="1"/>
    </xf>
    <xf numFmtId="0" fontId="2" fillId="0" borderId="15" xfId="0" applyFont="1" applyBorder="1" applyAlignment="1">
      <alignment horizontal="left" vertical="center"/>
    </xf>
    <xf numFmtId="0" fontId="3" fillId="0" borderId="44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182" fontId="2" fillId="0" borderId="16" xfId="2" applyNumberFormat="1" applyFont="1" applyBorder="1" applyAlignment="1">
      <alignment horizontal="right" vertical="center"/>
    </xf>
    <xf numFmtId="182" fontId="3" fillId="0" borderId="16" xfId="2" applyNumberFormat="1" applyFont="1" applyBorder="1" applyAlignment="1">
      <alignment horizontal="right" vertical="center"/>
    </xf>
    <xf numFmtId="183" fontId="2" fillId="0" borderId="16" xfId="0" applyNumberFormat="1" applyFont="1" applyBorder="1" applyAlignment="1">
      <alignment horizontal="right" vertical="center"/>
    </xf>
    <xf numFmtId="183" fontId="2" fillId="0" borderId="15" xfId="0" applyNumberFormat="1" applyFont="1" applyBorder="1" applyAlignment="1">
      <alignment horizontal="right" vertical="center"/>
    </xf>
    <xf numFmtId="0" fontId="2" fillId="2" borderId="16" xfId="0" applyFont="1" applyFill="1" applyBorder="1" applyAlignment="1">
      <alignment horizontal="center" vertical="center"/>
    </xf>
    <xf numFmtId="177" fontId="2" fillId="2" borderId="20" xfId="0" applyNumberFormat="1" applyFont="1" applyFill="1" applyBorder="1" applyAlignment="1" applyProtection="1">
      <alignment horizontal="right" vertical="center"/>
      <protection locked="0"/>
    </xf>
    <xf numFmtId="3" fontId="2" fillId="2" borderId="14" xfId="0" applyNumberFormat="1" applyFont="1" applyFill="1" applyBorder="1" applyAlignment="1" applyProtection="1">
      <alignment horizontal="right" vertical="center"/>
      <protection locked="0"/>
    </xf>
    <xf numFmtId="3" fontId="2" fillId="2" borderId="19" xfId="0" applyNumberFormat="1" applyFont="1" applyFill="1" applyBorder="1" applyAlignment="1" applyProtection="1">
      <alignment horizontal="right" vertical="center"/>
      <protection locked="0"/>
    </xf>
    <xf numFmtId="0" fontId="2" fillId="0" borderId="21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6" fontId="2" fillId="0" borderId="14" xfId="0" applyNumberFormat="1" applyFont="1" applyBorder="1" applyAlignment="1">
      <alignment horizontal="right" vertical="center"/>
    </xf>
    <xf numFmtId="6" fontId="2" fillId="0" borderId="19" xfId="0" applyNumberFormat="1" applyFont="1" applyBorder="1" applyAlignment="1">
      <alignment horizontal="right" vertical="center"/>
    </xf>
    <xf numFmtId="0" fontId="5" fillId="0" borderId="3" xfId="0" applyFont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181" fontId="12" fillId="0" borderId="0" xfId="1" applyNumberFormat="1" applyFont="1" applyAlignment="1" applyProtection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11" fillId="0" borderId="0" xfId="0" applyFont="1" applyAlignment="1" applyProtection="1">
      <alignment horizontal="center" vertical="center"/>
      <protection locked="0"/>
    </xf>
    <xf numFmtId="0" fontId="11" fillId="0" borderId="7" xfId="0" applyFont="1" applyBorder="1" applyAlignment="1" applyProtection="1">
      <alignment horizontal="center" vertical="center"/>
      <protection locked="0"/>
    </xf>
    <xf numFmtId="0" fontId="11" fillId="0" borderId="0" xfId="0" applyFont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 shrinkToFit="1"/>
      <protection locked="0"/>
    </xf>
    <xf numFmtId="0" fontId="2" fillId="0" borderId="2" xfId="0" applyFont="1" applyBorder="1" applyAlignment="1" applyProtection="1">
      <alignment horizontal="center" vertical="center" shrinkToFit="1"/>
      <protection locked="0"/>
    </xf>
    <xf numFmtId="0" fontId="2" fillId="0" borderId="8" xfId="0" applyFont="1" applyBorder="1" applyAlignment="1" applyProtection="1">
      <alignment horizontal="center" vertical="center" shrinkToFit="1"/>
      <protection locked="0"/>
    </xf>
    <xf numFmtId="0" fontId="2" fillId="0" borderId="5" xfId="0" applyFont="1" applyBorder="1" applyAlignment="1" applyProtection="1">
      <alignment horizontal="center" vertical="center" shrinkToFit="1"/>
      <protection locked="0"/>
    </xf>
    <xf numFmtId="0" fontId="2" fillId="0" borderId="33" xfId="0" applyFont="1" applyBorder="1" applyAlignment="1" applyProtection="1">
      <alignment horizontal="center" vertical="center" shrinkToFit="1"/>
      <protection locked="0"/>
    </xf>
    <xf numFmtId="0" fontId="2" fillId="0" borderId="34" xfId="0" applyFont="1" applyBorder="1" applyAlignment="1" applyProtection="1">
      <alignment horizontal="center" vertical="center" shrinkToFit="1"/>
      <protection locked="0"/>
    </xf>
    <xf numFmtId="3" fontId="2" fillId="2" borderId="6" xfId="0" applyNumberFormat="1" applyFont="1" applyFill="1" applyBorder="1" applyAlignment="1" applyProtection="1">
      <alignment horizontal="right" vertical="center"/>
      <protection locked="0"/>
    </xf>
    <xf numFmtId="3" fontId="2" fillId="2" borderId="22" xfId="0" applyNumberFormat="1" applyFont="1" applyFill="1" applyBorder="1" applyAlignment="1" applyProtection="1">
      <alignment horizontal="right" vertical="center"/>
      <protection locked="0"/>
    </xf>
    <xf numFmtId="0" fontId="2" fillId="0" borderId="30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14" fontId="3" fillId="0" borderId="37" xfId="0" applyNumberFormat="1" applyFont="1" applyBorder="1" applyAlignment="1" applyProtection="1">
      <alignment horizontal="left" vertical="center" shrinkToFit="1"/>
      <protection locked="0"/>
    </xf>
    <xf numFmtId="14" fontId="3" fillId="0" borderId="38" xfId="0" applyNumberFormat="1" applyFont="1" applyBorder="1" applyAlignment="1" applyProtection="1">
      <alignment horizontal="left" vertical="center" shrinkToFit="1"/>
      <protection locked="0"/>
    </xf>
    <xf numFmtId="14" fontId="3" fillId="0" borderId="39" xfId="0" applyNumberFormat="1" applyFont="1" applyBorder="1" applyAlignment="1" applyProtection="1">
      <alignment horizontal="left" vertical="center" shrinkToFit="1"/>
      <protection locked="0"/>
    </xf>
    <xf numFmtId="14" fontId="3" fillId="0" borderId="37" xfId="0" applyNumberFormat="1" applyFont="1" applyBorder="1" applyAlignment="1" applyProtection="1">
      <alignment horizontal="left" vertical="center"/>
      <protection locked="0"/>
    </xf>
    <xf numFmtId="14" fontId="3" fillId="0" borderId="38" xfId="0" applyNumberFormat="1" applyFont="1" applyBorder="1" applyAlignment="1" applyProtection="1">
      <alignment horizontal="left" vertical="center"/>
      <protection locked="0"/>
    </xf>
    <xf numFmtId="14" fontId="3" fillId="0" borderId="39" xfId="0" applyNumberFormat="1" applyFont="1" applyBorder="1" applyAlignment="1" applyProtection="1">
      <alignment horizontal="left" vertical="center"/>
      <protection locked="0"/>
    </xf>
    <xf numFmtId="176" fontId="14" fillId="0" borderId="7" xfId="0" applyNumberFormat="1" applyFont="1" applyBorder="1" applyAlignment="1">
      <alignment horizontal="center"/>
    </xf>
    <xf numFmtId="0" fontId="2" fillId="0" borderId="17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shrinkToFit="1"/>
    </xf>
    <xf numFmtId="0" fontId="15" fillId="0" borderId="17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2" fillId="3" borderId="47" xfId="0" applyFont="1" applyFill="1" applyBorder="1" applyAlignment="1">
      <alignment horizontal="center" vertical="center"/>
    </xf>
    <xf numFmtId="0" fontId="2" fillId="3" borderId="50" xfId="0" applyFont="1" applyFill="1" applyBorder="1" applyAlignment="1">
      <alignment horizontal="center" vertical="center"/>
    </xf>
    <xf numFmtId="182" fontId="3" fillId="0" borderId="14" xfId="0" applyNumberFormat="1" applyFont="1" applyBorder="1" applyAlignment="1">
      <alignment horizontal="right" vertical="center"/>
    </xf>
    <xf numFmtId="182" fontId="2" fillId="0" borderId="15" xfId="0" applyNumberFormat="1" applyFont="1" applyBorder="1" applyAlignment="1">
      <alignment horizontal="right" vertical="center"/>
    </xf>
    <xf numFmtId="182" fontId="2" fillId="0" borderId="14" xfId="0" applyNumberFormat="1" applyFont="1" applyBorder="1" applyAlignment="1">
      <alignment horizontal="right" vertical="center"/>
    </xf>
    <xf numFmtId="0" fontId="2" fillId="3" borderId="51" xfId="0" applyFont="1" applyFill="1" applyBorder="1" applyAlignment="1">
      <alignment horizontal="center" vertical="center"/>
    </xf>
    <xf numFmtId="0" fontId="2" fillId="3" borderId="52" xfId="0" applyFont="1" applyFill="1" applyBorder="1" applyAlignment="1">
      <alignment horizontal="center" vertical="center"/>
    </xf>
    <xf numFmtId="0" fontId="2" fillId="3" borderId="53" xfId="0" applyFont="1" applyFill="1" applyBorder="1" applyAlignment="1">
      <alignment horizontal="center" vertical="center"/>
    </xf>
  </cellXfs>
  <cellStyles count="3">
    <cellStyle name="ハイパーリンク" xfId="1" builtinId="8"/>
    <cellStyle name="桁区切り" xfId="2" builtinId="6"/>
    <cellStyle name="標準" xfId="0" builtinId="0"/>
  </cellStyles>
  <dxfs count="1">
    <dxf>
      <numFmt numFmtId="184" formatCode="&quot;令和元年&quot;m&quot;月&quot;d&quot;日&quot;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</xdr:col>
      <xdr:colOff>428625</xdr:colOff>
      <xdr:row>4</xdr:row>
      <xdr:rowOff>9525</xdr:rowOff>
    </xdr:to>
    <xdr:sp macro="" textlink="">
      <xdr:nvSpPr>
        <xdr:cNvPr id="1025" name="AutoShape 1" descr="クリア">
          <a:extLst>
            <a:ext uri="{FF2B5EF4-FFF2-40B4-BE49-F238E27FC236}">
              <a16:creationId xmlns:a16="http://schemas.microsoft.com/office/drawing/2014/main" id="{094A16BE-D831-5DED-8A08-09567FD33EA5}"/>
            </a:ext>
          </a:extLst>
        </xdr:cNvPr>
        <xdr:cNvSpPr>
          <a:spLocks noChangeAspect="1" noChangeArrowheads="1"/>
        </xdr:cNvSpPr>
      </xdr:nvSpPr>
      <xdr:spPr bwMode="auto">
        <a:xfrm>
          <a:off x="314325" y="685800"/>
          <a:ext cx="4286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438150</xdr:colOff>
      <xdr:row>4</xdr:row>
      <xdr:rowOff>0</xdr:rowOff>
    </xdr:from>
    <xdr:to>
      <xdr:col>1</xdr:col>
      <xdr:colOff>971550</xdr:colOff>
      <xdr:row>4</xdr:row>
      <xdr:rowOff>9525</xdr:rowOff>
    </xdr:to>
    <xdr:sp macro="" textlink="">
      <xdr:nvSpPr>
        <xdr:cNvPr id="1026" name="AutoShape 2" descr="見積書&#10;税あり">
          <a:extLst>
            <a:ext uri="{FF2B5EF4-FFF2-40B4-BE49-F238E27FC236}">
              <a16:creationId xmlns:a16="http://schemas.microsoft.com/office/drawing/2014/main" id="{2140DCF1-8B48-4C59-B0E0-5E25EB0E2684}"/>
            </a:ext>
          </a:extLst>
        </xdr:cNvPr>
        <xdr:cNvSpPr>
          <a:spLocks noChangeAspect="1" noChangeArrowheads="1"/>
        </xdr:cNvSpPr>
      </xdr:nvSpPr>
      <xdr:spPr bwMode="auto">
        <a:xfrm>
          <a:off x="752475" y="685800"/>
          <a:ext cx="5334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295275</xdr:colOff>
      <xdr:row>4</xdr:row>
      <xdr:rowOff>0</xdr:rowOff>
    </xdr:from>
    <xdr:to>
      <xdr:col>3</xdr:col>
      <xdr:colOff>238125</xdr:colOff>
      <xdr:row>4</xdr:row>
      <xdr:rowOff>9525</xdr:rowOff>
    </xdr:to>
    <xdr:sp macro="" textlink="">
      <xdr:nvSpPr>
        <xdr:cNvPr id="1027" name="AutoShape 3" descr="内訳&#10;１ページ">
          <a:extLst>
            <a:ext uri="{FF2B5EF4-FFF2-40B4-BE49-F238E27FC236}">
              <a16:creationId xmlns:a16="http://schemas.microsoft.com/office/drawing/2014/main" id="{6A5AFBCB-752A-D0DA-3871-A8535963B08F}"/>
            </a:ext>
          </a:extLst>
        </xdr:cNvPr>
        <xdr:cNvSpPr>
          <a:spLocks noChangeAspect="1" noChangeArrowheads="1"/>
        </xdr:cNvSpPr>
      </xdr:nvSpPr>
      <xdr:spPr bwMode="auto">
        <a:xfrm>
          <a:off x="2419350" y="685800"/>
          <a:ext cx="523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142875</xdr:colOff>
      <xdr:row>4</xdr:row>
      <xdr:rowOff>0</xdr:rowOff>
    </xdr:from>
    <xdr:to>
      <xdr:col>3</xdr:col>
      <xdr:colOff>666750</xdr:colOff>
      <xdr:row>4</xdr:row>
      <xdr:rowOff>9525</xdr:rowOff>
    </xdr:to>
    <xdr:sp macro="" textlink="">
      <xdr:nvSpPr>
        <xdr:cNvPr id="1028" name="AutoShape 4" descr="内訳&#10;２ページ">
          <a:extLst>
            <a:ext uri="{FF2B5EF4-FFF2-40B4-BE49-F238E27FC236}">
              <a16:creationId xmlns:a16="http://schemas.microsoft.com/office/drawing/2014/main" id="{9DA11326-B98D-8783-F58F-08AE2C25A4A8}"/>
            </a:ext>
          </a:extLst>
        </xdr:cNvPr>
        <xdr:cNvSpPr>
          <a:spLocks noChangeAspect="1" noChangeArrowheads="1"/>
        </xdr:cNvSpPr>
      </xdr:nvSpPr>
      <xdr:spPr bwMode="auto">
        <a:xfrm>
          <a:off x="2905125" y="685800"/>
          <a:ext cx="523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66675</xdr:colOff>
      <xdr:row>4</xdr:row>
      <xdr:rowOff>0</xdr:rowOff>
    </xdr:from>
    <xdr:to>
      <xdr:col>3</xdr:col>
      <xdr:colOff>581025</xdr:colOff>
      <xdr:row>4</xdr:row>
      <xdr:rowOff>9525</xdr:rowOff>
    </xdr:to>
    <xdr:sp macro="" textlink="">
      <xdr:nvSpPr>
        <xdr:cNvPr id="1029" name="AutoShape 5" descr="内訳&#10;４ページ">
          <a:extLst>
            <a:ext uri="{FF2B5EF4-FFF2-40B4-BE49-F238E27FC236}">
              <a16:creationId xmlns:a16="http://schemas.microsoft.com/office/drawing/2014/main" id="{ED4174D7-49AC-B4D1-7CF8-4B8F65CA721A}"/>
            </a:ext>
          </a:extLst>
        </xdr:cNvPr>
        <xdr:cNvSpPr>
          <a:spLocks noChangeAspect="1" noChangeArrowheads="1"/>
        </xdr:cNvSpPr>
      </xdr:nvSpPr>
      <xdr:spPr bwMode="auto">
        <a:xfrm>
          <a:off x="2828925" y="685800"/>
          <a:ext cx="51435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514350</xdr:colOff>
      <xdr:row>4</xdr:row>
      <xdr:rowOff>0</xdr:rowOff>
    </xdr:from>
    <xdr:to>
      <xdr:col>4</xdr:col>
      <xdr:colOff>1028700</xdr:colOff>
      <xdr:row>4</xdr:row>
      <xdr:rowOff>9525</xdr:rowOff>
    </xdr:to>
    <xdr:sp macro="" textlink="">
      <xdr:nvSpPr>
        <xdr:cNvPr id="1030" name="AutoShape 6" descr="内訳&#10;３ページ">
          <a:extLst>
            <a:ext uri="{FF2B5EF4-FFF2-40B4-BE49-F238E27FC236}">
              <a16:creationId xmlns:a16="http://schemas.microsoft.com/office/drawing/2014/main" id="{7CC49865-1B29-7D74-658F-7FFC8764B7A7}"/>
            </a:ext>
          </a:extLst>
        </xdr:cNvPr>
        <xdr:cNvSpPr>
          <a:spLocks noChangeAspect="1" noChangeArrowheads="1"/>
        </xdr:cNvSpPr>
      </xdr:nvSpPr>
      <xdr:spPr bwMode="auto">
        <a:xfrm>
          <a:off x="4086225" y="685800"/>
          <a:ext cx="51435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38100</xdr:colOff>
      <xdr:row>4</xdr:row>
      <xdr:rowOff>9525</xdr:rowOff>
    </xdr:to>
    <xdr:sp macro="" textlink="">
      <xdr:nvSpPr>
        <xdr:cNvPr id="1031" name="AutoShape 7" descr="内訳&#10;５ページ">
          <a:extLst>
            <a:ext uri="{FF2B5EF4-FFF2-40B4-BE49-F238E27FC236}">
              <a16:creationId xmlns:a16="http://schemas.microsoft.com/office/drawing/2014/main" id="{7F64263A-8F49-B48B-1C5B-38F2880E2350}"/>
            </a:ext>
          </a:extLst>
        </xdr:cNvPr>
        <xdr:cNvSpPr>
          <a:spLocks noChangeAspect="1" noChangeArrowheads="1"/>
        </xdr:cNvSpPr>
      </xdr:nvSpPr>
      <xdr:spPr bwMode="auto">
        <a:xfrm>
          <a:off x="5162550" y="685800"/>
          <a:ext cx="771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190500</xdr:colOff>
      <xdr:row>4</xdr:row>
      <xdr:rowOff>0</xdr:rowOff>
    </xdr:from>
    <xdr:to>
      <xdr:col>6</xdr:col>
      <xdr:colOff>19050</xdr:colOff>
      <xdr:row>4</xdr:row>
      <xdr:rowOff>9525</xdr:rowOff>
    </xdr:to>
    <xdr:sp macro="" textlink="">
      <xdr:nvSpPr>
        <xdr:cNvPr id="1032" name="AutoShape 8" descr="内訳&#10;６ページ">
          <a:extLst>
            <a:ext uri="{FF2B5EF4-FFF2-40B4-BE49-F238E27FC236}">
              <a16:creationId xmlns:a16="http://schemas.microsoft.com/office/drawing/2014/main" id="{D14DB765-B27E-98D8-5069-FC87BB3CF3FE}"/>
            </a:ext>
          </a:extLst>
        </xdr:cNvPr>
        <xdr:cNvSpPr>
          <a:spLocks noChangeAspect="1" noChangeArrowheads="1"/>
        </xdr:cNvSpPr>
      </xdr:nvSpPr>
      <xdr:spPr bwMode="auto">
        <a:xfrm>
          <a:off x="5610225" y="685800"/>
          <a:ext cx="5619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28575</xdr:colOff>
      <xdr:row>4</xdr:row>
      <xdr:rowOff>0</xdr:rowOff>
    </xdr:from>
    <xdr:to>
      <xdr:col>7</xdr:col>
      <xdr:colOff>57150</xdr:colOff>
      <xdr:row>4</xdr:row>
      <xdr:rowOff>9525</xdr:rowOff>
    </xdr:to>
    <xdr:sp macro="" textlink="">
      <xdr:nvSpPr>
        <xdr:cNvPr id="1033" name="AutoShape 9" descr="見積書&#10;税なし">
          <a:extLst>
            <a:ext uri="{FF2B5EF4-FFF2-40B4-BE49-F238E27FC236}">
              <a16:creationId xmlns:a16="http://schemas.microsoft.com/office/drawing/2014/main" id="{288E3F2F-C163-F406-46B7-4646D07AC0B5}"/>
            </a:ext>
          </a:extLst>
        </xdr:cNvPr>
        <xdr:cNvSpPr>
          <a:spLocks noChangeAspect="1" noChangeArrowheads="1"/>
        </xdr:cNvSpPr>
      </xdr:nvSpPr>
      <xdr:spPr bwMode="auto">
        <a:xfrm>
          <a:off x="6200775" y="685800"/>
          <a:ext cx="5334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11</xdr:col>
      <xdr:colOff>0</xdr:colOff>
      <xdr:row>4</xdr:row>
      <xdr:rowOff>0</xdr:rowOff>
    </xdr:from>
    <xdr:to>
      <xdr:col>12</xdr:col>
      <xdr:colOff>190500</xdr:colOff>
      <xdr:row>4</xdr:row>
      <xdr:rowOff>9525</xdr:rowOff>
    </xdr:to>
    <xdr:sp macro="" textlink="">
      <xdr:nvSpPr>
        <xdr:cNvPr id="1035" name="AutoShape 11" descr="画面制御">
          <a:extLst>
            <a:ext uri="{FF2B5EF4-FFF2-40B4-BE49-F238E27FC236}">
              <a16:creationId xmlns:a16="http://schemas.microsoft.com/office/drawing/2014/main" id="{B8B1615A-2832-9EC5-9218-ACC953C0F711}"/>
            </a:ext>
          </a:extLst>
        </xdr:cNvPr>
        <xdr:cNvSpPr>
          <a:spLocks noChangeAspect="1" noChangeArrowheads="1"/>
        </xdr:cNvSpPr>
      </xdr:nvSpPr>
      <xdr:spPr bwMode="auto">
        <a:xfrm>
          <a:off x="10563225" y="685800"/>
          <a:ext cx="8763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876300</xdr:colOff>
      <xdr:row>4</xdr:row>
      <xdr:rowOff>38100</xdr:rowOff>
    </xdr:to>
    <xdr:sp macro="" textlink="">
      <xdr:nvSpPr>
        <xdr:cNvPr id="1036" name="AutoShape 12" descr="image012">
          <a:extLst>
            <a:ext uri="{FF2B5EF4-FFF2-40B4-BE49-F238E27FC236}">
              <a16:creationId xmlns:a16="http://schemas.microsoft.com/office/drawing/2014/main" id="{BED81CCB-F2E3-8F48-35C1-388AACDEF763}"/>
            </a:ext>
          </a:extLst>
        </xdr:cNvPr>
        <xdr:cNvSpPr>
          <a:spLocks noChangeAspect="1" noChangeArrowheads="1"/>
        </xdr:cNvSpPr>
      </xdr:nvSpPr>
      <xdr:spPr bwMode="auto">
        <a:xfrm>
          <a:off x="314325" y="685800"/>
          <a:ext cx="8763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11</xdr:col>
      <xdr:colOff>0</xdr:colOff>
      <xdr:row>4</xdr:row>
      <xdr:rowOff>0</xdr:rowOff>
    </xdr:from>
    <xdr:to>
      <xdr:col>12</xdr:col>
      <xdr:colOff>304800</xdr:colOff>
      <xdr:row>4</xdr:row>
      <xdr:rowOff>9525</xdr:rowOff>
    </xdr:to>
    <xdr:sp macro="" textlink="">
      <xdr:nvSpPr>
        <xdr:cNvPr id="1037" name="AutoShape 13" descr="入力説明">
          <a:extLst>
            <a:ext uri="{FF2B5EF4-FFF2-40B4-BE49-F238E27FC236}">
              <a16:creationId xmlns:a16="http://schemas.microsoft.com/office/drawing/2014/main" id="{D9AA9A3A-3BB7-8F66-B389-A2DE096C4C72}"/>
            </a:ext>
          </a:extLst>
        </xdr:cNvPr>
        <xdr:cNvSpPr>
          <a:spLocks noChangeAspect="1" noChangeArrowheads="1"/>
        </xdr:cNvSpPr>
      </xdr:nvSpPr>
      <xdr:spPr bwMode="auto">
        <a:xfrm>
          <a:off x="10563225" y="685800"/>
          <a:ext cx="9906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11</xdr:col>
      <xdr:colOff>0</xdr:colOff>
      <xdr:row>4</xdr:row>
      <xdr:rowOff>0</xdr:rowOff>
    </xdr:from>
    <xdr:to>
      <xdr:col>12</xdr:col>
      <xdr:colOff>352425</xdr:colOff>
      <xdr:row>4</xdr:row>
      <xdr:rowOff>9525</xdr:rowOff>
    </xdr:to>
    <xdr:sp macro="" textlink="">
      <xdr:nvSpPr>
        <xdr:cNvPr id="1038" name="AutoShape 14" descr="画面解除">
          <a:extLst>
            <a:ext uri="{FF2B5EF4-FFF2-40B4-BE49-F238E27FC236}">
              <a16:creationId xmlns:a16="http://schemas.microsoft.com/office/drawing/2014/main" id="{35845E16-FE23-A0B8-CF86-B2B4D4E60728}"/>
            </a:ext>
          </a:extLst>
        </xdr:cNvPr>
        <xdr:cNvSpPr>
          <a:spLocks noChangeAspect="1" noChangeArrowheads="1"/>
        </xdr:cNvSpPr>
      </xdr:nvSpPr>
      <xdr:spPr bwMode="auto">
        <a:xfrm>
          <a:off x="10563225" y="685800"/>
          <a:ext cx="10382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552450</xdr:colOff>
      <xdr:row>16</xdr:row>
      <xdr:rowOff>66675</xdr:rowOff>
    </xdr:from>
    <xdr:to>
      <xdr:col>16</xdr:col>
      <xdr:colOff>0</xdr:colOff>
      <xdr:row>16</xdr:row>
      <xdr:rowOff>76200</xdr:rowOff>
    </xdr:to>
    <xdr:sp macro="" textlink="">
      <xdr:nvSpPr>
        <xdr:cNvPr id="1039" name="AutoShape 15" descr="データー&#10;クリア">
          <a:extLst>
            <a:ext uri="{FF2B5EF4-FFF2-40B4-BE49-F238E27FC236}">
              <a16:creationId xmlns:a16="http://schemas.microsoft.com/office/drawing/2014/main" id="{0B6564D1-BC4D-1623-B5E3-93315DB79112}"/>
            </a:ext>
          </a:extLst>
        </xdr:cNvPr>
        <xdr:cNvSpPr>
          <a:spLocks noChangeAspect="1" noChangeArrowheads="1"/>
        </xdr:cNvSpPr>
      </xdr:nvSpPr>
      <xdr:spPr bwMode="auto">
        <a:xfrm>
          <a:off x="13173075" y="3257550"/>
          <a:ext cx="81915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1295400</xdr:colOff>
      <xdr:row>4</xdr:row>
      <xdr:rowOff>28575</xdr:rowOff>
    </xdr:to>
    <xdr:sp macro="" textlink="">
      <xdr:nvSpPr>
        <xdr:cNvPr id="1040" name="AutoShape 16" descr="image016">
          <a:extLst>
            <a:ext uri="{FF2B5EF4-FFF2-40B4-BE49-F238E27FC236}">
              <a16:creationId xmlns:a16="http://schemas.microsoft.com/office/drawing/2014/main" id="{D89E7640-D63E-C657-8E2E-A7465A9C733C}"/>
            </a:ext>
          </a:extLst>
        </xdr:cNvPr>
        <xdr:cNvSpPr>
          <a:spLocks noChangeAspect="1" noChangeArrowheads="1"/>
        </xdr:cNvSpPr>
      </xdr:nvSpPr>
      <xdr:spPr bwMode="auto">
        <a:xfrm>
          <a:off x="314325" y="685800"/>
          <a:ext cx="12954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838200</xdr:colOff>
      <xdr:row>15</xdr:row>
      <xdr:rowOff>66675</xdr:rowOff>
    </xdr:to>
    <xdr:sp macro="" textlink="">
      <xdr:nvSpPr>
        <xdr:cNvPr id="1044" name="AutoShape 20" descr="テキスト ボックス: 工  事  名">
          <a:extLst>
            <a:ext uri="{FF2B5EF4-FFF2-40B4-BE49-F238E27FC236}">
              <a16:creationId xmlns:a16="http://schemas.microsoft.com/office/drawing/2014/main" id="{BD526B4E-32C2-102B-1E2A-C282B30AFB30}"/>
            </a:ext>
          </a:extLst>
        </xdr:cNvPr>
        <xdr:cNvSpPr>
          <a:spLocks noChangeAspect="1" noChangeArrowheads="1"/>
        </xdr:cNvSpPr>
      </xdr:nvSpPr>
      <xdr:spPr bwMode="auto">
        <a:xfrm>
          <a:off x="314325" y="2828925"/>
          <a:ext cx="8382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10</xdr:col>
      <xdr:colOff>0</xdr:colOff>
      <xdr:row>18</xdr:row>
      <xdr:rowOff>19050</xdr:rowOff>
    </xdr:from>
    <xdr:to>
      <xdr:col>10</xdr:col>
      <xdr:colOff>0</xdr:colOff>
      <xdr:row>18</xdr:row>
      <xdr:rowOff>19050</xdr:rowOff>
    </xdr:to>
    <xdr:sp macro="" textlink="">
      <xdr:nvSpPr>
        <xdr:cNvPr id="1045" name="Line 31">
          <a:extLst>
            <a:ext uri="{FF2B5EF4-FFF2-40B4-BE49-F238E27FC236}">
              <a16:creationId xmlns:a16="http://schemas.microsoft.com/office/drawing/2014/main" id="{01EF8CED-655F-59A2-2A5A-91629FA7B77F}"/>
            </a:ext>
          </a:extLst>
        </xdr:cNvPr>
        <xdr:cNvSpPr>
          <a:spLocks noChangeShapeType="1"/>
        </xdr:cNvSpPr>
      </xdr:nvSpPr>
      <xdr:spPr bwMode="auto">
        <a:xfrm>
          <a:off x="9267825" y="35718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9</xdr:col>
      <xdr:colOff>200025</xdr:colOff>
      <xdr:row>10</xdr:row>
      <xdr:rowOff>47625</xdr:rowOff>
    </xdr:from>
    <xdr:to>
      <xdr:col>10</xdr:col>
      <xdr:colOff>504825</xdr:colOff>
      <xdr:row>15</xdr:row>
      <xdr:rowOff>133350</xdr:rowOff>
    </xdr:to>
    <xdr:pic>
      <xdr:nvPicPr>
        <xdr:cNvPr id="1046" name="図 2">
          <a:extLst>
            <a:ext uri="{FF2B5EF4-FFF2-40B4-BE49-F238E27FC236}">
              <a16:creationId xmlns:a16="http://schemas.microsoft.com/office/drawing/2014/main" id="{38AFE439-A813-580B-DD7E-34E250BB0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58225" y="2095500"/>
          <a:ext cx="1114425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552450</xdr:colOff>
      <xdr:row>1</xdr:row>
      <xdr:rowOff>0</xdr:rowOff>
    </xdr:from>
    <xdr:ext cx="819150" cy="9525"/>
    <xdr:sp macro="" textlink="">
      <xdr:nvSpPr>
        <xdr:cNvPr id="2" name="AutoShape 15" descr="データー&#10;クリア">
          <a:extLst>
            <a:ext uri="{FF2B5EF4-FFF2-40B4-BE49-F238E27FC236}">
              <a16:creationId xmlns:a16="http://schemas.microsoft.com/office/drawing/2014/main" id="{767F36A2-E877-4834-B24C-358E1D236927}"/>
            </a:ext>
          </a:extLst>
        </xdr:cNvPr>
        <xdr:cNvSpPr>
          <a:spLocks noChangeAspect="1" noChangeArrowheads="1"/>
        </xdr:cNvSpPr>
      </xdr:nvSpPr>
      <xdr:spPr bwMode="auto">
        <a:xfrm>
          <a:off x="2933700" y="419100"/>
          <a:ext cx="81915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876300" cy="9525"/>
    <xdr:sp macro="" textlink="">
      <xdr:nvSpPr>
        <xdr:cNvPr id="3" name="AutoShape 11" descr="画面制御">
          <a:extLst>
            <a:ext uri="{FF2B5EF4-FFF2-40B4-BE49-F238E27FC236}">
              <a16:creationId xmlns:a16="http://schemas.microsoft.com/office/drawing/2014/main" id="{2F5FA31E-5193-454D-96AE-4EE0902B3839}"/>
            </a:ext>
          </a:extLst>
        </xdr:cNvPr>
        <xdr:cNvSpPr>
          <a:spLocks noChangeAspect="1" noChangeArrowheads="1"/>
        </xdr:cNvSpPr>
      </xdr:nvSpPr>
      <xdr:spPr bwMode="auto">
        <a:xfrm>
          <a:off x="1190625" y="419100"/>
          <a:ext cx="8763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990600" cy="9525"/>
    <xdr:sp macro="" textlink="">
      <xdr:nvSpPr>
        <xdr:cNvPr id="4" name="AutoShape 13" descr="入力説明">
          <a:extLst>
            <a:ext uri="{FF2B5EF4-FFF2-40B4-BE49-F238E27FC236}">
              <a16:creationId xmlns:a16="http://schemas.microsoft.com/office/drawing/2014/main" id="{A4081825-F05E-42AB-9C64-53A8B751A9B1}"/>
            </a:ext>
          </a:extLst>
        </xdr:cNvPr>
        <xdr:cNvSpPr>
          <a:spLocks noChangeAspect="1" noChangeArrowheads="1"/>
        </xdr:cNvSpPr>
      </xdr:nvSpPr>
      <xdr:spPr bwMode="auto">
        <a:xfrm>
          <a:off x="1190625" y="419100"/>
          <a:ext cx="9906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038225" cy="9525"/>
    <xdr:sp macro="" textlink="">
      <xdr:nvSpPr>
        <xdr:cNvPr id="5" name="AutoShape 14" descr="画面解除">
          <a:extLst>
            <a:ext uri="{FF2B5EF4-FFF2-40B4-BE49-F238E27FC236}">
              <a16:creationId xmlns:a16="http://schemas.microsoft.com/office/drawing/2014/main" id="{AC20D443-987C-49AA-9ABE-77AE2EDDFD8E}"/>
            </a:ext>
          </a:extLst>
        </xdr:cNvPr>
        <xdr:cNvSpPr>
          <a:spLocks noChangeAspect="1" noChangeArrowheads="1"/>
        </xdr:cNvSpPr>
      </xdr:nvSpPr>
      <xdr:spPr bwMode="auto">
        <a:xfrm>
          <a:off x="1190625" y="419100"/>
          <a:ext cx="10382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552450</xdr:colOff>
      <xdr:row>1</xdr:row>
      <xdr:rowOff>0</xdr:rowOff>
    </xdr:from>
    <xdr:ext cx="819150" cy="9525"/>
    <xdr:sp macro="" textlink="">
      <xdr:nvSpPr>
        <xdr:cNvPr id="6" name="AutoShape 15" descr="データー&#10;クリア">
          <a:extLst>
            <a:ext uri="{FF2B5EF4-FFF2-40B4-BE49-F238E27FC236}">
              <a16:creationId xmlns:a16="http://schemas.microsoft.com/office/drawing/2014/main" id="{1FAAC49E-562A-4F96-BF34-803CD2CFA01C}"/>
            </a:ext>
          </a:extLst>
        </xdr:cNvPr>
        <xdr:cNvSpPr>
          <a:spLocks noChangeAspect="1" noChangeArrowheads="1"/>
        </xdr:cNvSpPr>
      </xdr:nvSpPr>
      <xdr:spPr bwMode="auto">
        <a:xfrm>
          <a:off x="4124325" y="419100"/>
          <a:ext cx="81915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7D516-5A64-43DD-A762-0BD21AF258EB}">
  <dimension ref="A3:IE562"/>
  <sheetViews>
    <sheetView tabSelected="1" view="pageBreakPreview" zoomScaleNormal="100" zoomScaleSheetLayoutView="100" workbookViewId="0">
      <selection activeCell="B7" sqref="B7:C8"/>
    </sheetView>
  </sheetViews>
  <sheetFormatPr defaultRowHeight="13.5" x14ac:dyDescent="0.15"/>
  <cols>
    <col min="1" max="1" width="4.125" customWidth="1"/>
    <col min="2" max="2" width="23.625" style="4" customWidth="1"/>
    <col min="3" max="3" width="7.625" customWidth="1"/>
    <col min="4" max="4" width="10.625" customWidth="1"/>
    <col min="5" max="5" width="24.625" customWidth="1"/>
    <col min="6" max="6" width="9.625" customWidth="1"/>
    <col min="7" max="7" width="6.625" style="5" customWidth="1"/>
    <col min="8" max="8" width="12.625" customWidth="1"/>
    <col min="9" max="10" width="10.625" customWidth="1"/>
    <col min="11" max="11" width="17" customWidth="1"/>
  </cols>
  <sheetData>
    <row r="3" spans="1:239" x14ac:dyDescent="0.15">
      <c r="A3" s="4"/>
      <c r="C3" s="4"/>
      <c r="D3" s="4"/>
      <c r="E3" s="4"/>
      <c r="F3" s="4"/>
      <c r="G3" s="11"/>
      <c r="H3" s="4"/>
      <c r="I3" s="4"/>
      <c r="J3" s="4"/>
      <c r="K3" s="4"/>
    </row>
    <row r="4" spans="1:239" x14ac:dyDescent="0.15">
      <c r="A4" s="4"/>
      <c r="C4" s="4"/>
      <c r="D4" s="4"/>
      <c r="E4" s="4"/>
      <c r="F4" s="4"/>
      <c r="G4" s="11"/>
      <c r="H4" s="4"/>
      <c r="I4" s="4"/>
      <c r="J4" s="4"/>
      <c r="K4" s="4"/>
    </row>
    <row r="5" spans="1:239" ht="15" x14ac:dyDescent="0.2">
      <c r="A5" s="12"/>
      <c r="B5" s="13"/>
      <c r="C5" s="14"/>
      <c r="D5" s="14"/>
      <c r="E5" s="14"/>
      <c r="F5" s="14"/>
      <c r="G5" s="13"/>
      <c r="H5" s="13"/>
      <c r="I5" s="13"/>
      <c r="J5" s="15"/>
      <c r="K5" s="16"/>
      <c r="L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</row>
    <row r="6" spans="1:239" ht="34.5" customHeight="1" x14ac:dyDescent="0.15">
      <c r="A6" s="114" t="s">
        <v>0</v>
      </c>
      <c r="B6" s="115"/>
      <c r="C6" s="115"/>
      <c r="D6" s="115"/>
      <c r="E6" s="115"/>
      <c r="F6" s="115"/>
      <c r="G6" s="115"/>
      <c r="H6" s="115"/>
      <c r="I6" s="115"/>
      <c r="J6" s="115"/>
      <c r="K6" s="116"/>
      <c r="L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</row>
    <row r="7" spans="1:239" ht="15" customHeight="1" x14ac:dyDescent="0.2">
      <c r="A7" s="17"/>
      <c r="B7" s="120"/>
      <c r="C7" s="120"/>
      <c r="D7" s="122" t="s">
        <v>19</v>
      </c>
      <c r="E7" s="18"/>
      <c r="F7" s="18"/>
      <c r="G7" s="19"/>
      <c r="H7" s="18"/>
      <c r="I7" s="117">
        <f ca="1">TODAY()</f>
        <v>46312</v>
      </c>
      <c r="J7" s="117"/>
      <c r="K7" s="20"/>
      <c r="L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</row>
    <row r="8" spans="1:239" ht="15" customHeight="1" x14ac:dyDescent="0.2">
      <c r="A8" s="17"/>
      <c r="B8" s="121"/>
      <c r="C8" s="121"/>
      <c r="D8" s="123"/>
      <c r="E8" s="18"/>
      <c r="F8" s="18"/>
      <c r="G8" s="19"/>
      <c r="H8" s="18"/>
      <c r="I8" s="21"/>
      <c r="J8" s="21"/>
      <c r="K8" s="20"/>
      <c r="L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</row>
    <row r="9" spans="1:239" ht="12" customHeight="1" x14ac:dyDescent="0.2">
      <c r="A9" s="17"/>
      <c r="B9" s="22"/>
      <c r="C9" s="18"/>
      <c r="D9" s="18"/>
      <c r="E9" s="18"/>
      <c r="F9" s="18"/>
      <c r="G9" s="19"/>
      <c r="H9" s="18"/>
      <c r="I9" s="21"/>
      <c r="J9" s="21"/>
      <c r="K9" s="20"/>
      <c r="L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</row>
    <row r="10" spans="1:239" ht="15.75" customHeight="1" x14ac:dyDescent="0.2">
      <c r="A10" s="17"/>
      <c r="B10" s="23" t="s">
        <v>1</v>
      </c>
      <c r="C10" s="23"/>
      <c r="D10" s="23"/>
      <c r="E10" s="23"/>
      <c r="F10" s="23"/>
      <c r="G10" s="24"/>
      <c r="H10" s="25" t="s">
        <v>2</v>
      </c>
      <c r="I10" s="19"/>
      <c r="J10" s="23"/>
      <c r="K10" s="26"/>
      <c r="L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</row>
    <row r="11" spans="1:239" ht="10.5" customHeight="1" x14ac:dyDescent="0.2">
      <c r="A11" s="17"/>
      <c r="B11" s="23"/>
      <c r="C11" s="23"/>
      <c r="D11" s="23"/>
      <c r="E11" s="23"/>
      <c r="F11" s="23"/>
      <c r="G11" s="24"/>
      <c r="H11" s="25"/>
      <c r="I11" s="19"/>
      <c r="J11" s="23"/>
      <c r="K11" s="26"/>
      <c r="L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</row>
    <row r="12" spans="1:239" ht="18.75" customHeight="1" x14ac:dyDescent="0.2">
      <c r="A12" s="17"/>
      <c r="B12" s="27" t="s">
        <v>3</v>
      </c>
      <c r="C12" s="140">
        <f>I33</f>
        <v>0</v>
      </c>
      <c r="D12" s="140"/>
      <c r="E12" s="140"/>
      <c r="F12" s="18"/>
      <c r="G12" s="24"/>
      <c r="H12" s="25" t="s">
        <v>74</v>
      </c>
      <c r="I12" s="19"/>
      <c r="J12" s="23"/>
      <c r="K12" s="26"/>
      <c r="L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</row>
    <row r="13" spans="1:239" ht="15" customHeight="1" x14ac:dyDescent="0.2">
      <c r="A13" s="17"/>
      <c r="B13" s="28"/>
      <c r="C13" s="29"/>
      <c r="D13" s="29"/>
      <c r="E13" s="29"/>
      <c r="F13" s="30"/>
      <c r="G13" s="31"/>
      <c r="H13" s="25" t="s">
        <v>20</v>
      </c>
      <c r="I13" s="19"/>
      <c r="J13" s="23"/>
      <c r="K13" s="26"/>
      <c r="L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</row>
    <row r="14" spans="1:239" ht="17.25" x14ac:dyDescent="0.2">
      <c r="A14" s="17"/>
      <c r="B14" s="18"/>
      <c r="C14" s="18"/>
      <c r="D14" s="18"/>
      <c r="E14" s="23"/>
      <c r="F14" s="18"/>
      <c r="G14" s="19"/>
      <c r="H14" s="32" t="s">
        <v>14</v>
      </c>
      <c r="I14" s="31"/>
      <c r="J14" s="33"/>
      <c r="K14" s="26"/>
      <c r="L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</row>
    <row r="15" spans="1:239" ht="14.25" x14ac:dyDescent="0.2">
      <c r="A15" s="17"/>
      <c r="B15" s="132" t="s">
        <v>15</v>
      </c>
      <c r="C15" s="124"/>
      <c r="D15" s="125"/>
      <c r="E15" s="126"/>
      <c r="F15" s="18"/>
      <c r="G15" s="19"/>
      <c r="H15" s="35" t="s">
        <v>78</v>
      </c>
      <c r="I15" s="25"/>
      <c r="J15" s="36"/>
      <c r="K15" s="26"/>
      <c r="L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</row>
    <row r="16" spans="1:239" ht="14.25" x14ac:dyDescent="0.2">
      <c r="A16" s="17"/>
      <c r="B16" s="133"/>
      <c r="C16" s="127"/>
      <c r="D16" s="128"/>
      <c r="E16" s="129"/>
      <c r="F16" s="18"/>
      <c r="G16" s="19"/>
      <c r="H16" s="37" t="s">
        <v>79</v>
      </c>
      <c r="I16" s="37"/>
      <c r="J16" s="38"/>
      <c r="K16" s="26"/>
      <c r="L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</row>
    <row r="17" spans="1:239" ht="14.25" x14ac:dyDescent="0.2">
      <c r="A17" s="17"/>
      <c r="B17" s="39" t="s">
        <v>76</v>
      </c>
      <c r="C17" s="134"/>
      <c r="D17" s="135"/>
      <c r="E17" s="136"/>
      <c r="F17" s="18"/>
      <c r="G17" s="19"/>
      <c r="H17" s="37" t="s">
        <v>80</v>
      </c>
      <c r="I17" s="37"/>
      <c r="J17" s="23"/>
      <c r="K17" s="26"/>
      <c r="L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</row>
    <row r="18" spans="1:239" ht="14.25" x14ac:dyDescent="0.2">
      <c r="A18" s="17"/>
      <c r="B18" s="39" t="s">
        <v>4</v>
      </c>
      <c r="C18" s="137" t="s">
        <v>77</v>
      </c>
      <c r="D18" s="138"/>
      <c r="E18" s="139"/>
      <c r="F18" s="4"/>
      <c r="G18" s="40"/>
      <c r="H18" s="25"/>
      <c r="I18" s="4"/>
      <c r="J18" s="4"/>
      <c r="K18" s="4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</row>
    <row r="19" spans="1:239" ht="14.25" x14ac:dyDescent="0.2">
      <c r="A19" s="17"/>
      <c r="B19" s="42" t="s">
        <v>5</v>
      </c>
      <c r="C19" s="43" t="s">
        <v>6</v>
      </c>
      <c r="D19" s="44"/>
      <c r="E19" s="45"/>
      <c r="F19" s="46"/>
      <c r="G19" s="47"/>
      <c r="H19" s="25"/>
      <c r="I19" s="23"/>
      <c r="J19" s="4"/>
      <c r="K19" s="26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</row>
    <row r="20" spans="1:239" ht="14.25" x14ac:dyDescent="0.2">
      <c r="A20" s="17"/>
      <c r="B20" s="18"/>
      <c r="C20" s="18"/>
      <c r="D20" s="18"/>
      <c r="E20" s="48"/>
      <c r="F20" s="18"/>
      <c r="G20" s="19"/>
      <c r="H20" s="25"/>
      <c r="I20" s="19"/>
      <c r="J20" s="4"/>
      <c r="K20" s="49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</row>
    <row r="21" spans="1:239" ht="14.25" thickBot="1" x14ac:dyDescent="0.25">
      <c r="A21" s="50"/>
      <c r="B21" s="51" t="s">
        <v>7</v>
      </c>
      <c r="C21" s="52"/>
      <c r="D21" s="50" t="s">
        <v>8</v>
      </c>
      <c r="E21" s="53"/>
      <c r="F21" s="54" t="s">
        <v>81</v>
      </c>
      <c r="G21" s="55" t="s">
        <v>9</v>
      </c>
      <c r="H21" s="55" t="s">
        <v>88</v>
      </c>
      <c r="I21" s="118" t="s">
        <v>10</v>
      </c>
      <c r="J21" s="119"/>
      <c r="K21" s="55" t="s">
        <v>11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</row>
    <row r="22" spans="1:239" ht="20.25" thickTop="1" x14ac:dyDescent="0.35">
      <c r="A22" s="56"/>
      <c r="B22" s="86"/>
      <c r="C22" s="89"/>
      <c r="D22" s="90"/>
      <c r="E22" s="91"/>
      <c r="F22" s="92"/>
      <c r="G22" s="106"/>
      <c r="H22" s="107"/>
      <c r="I22" s="130">
        <f>F22*H22</f>
        <v>0</v>
      </c>
      <c r="J22" s="131"/>
      <c r="K22" s="57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</row>
    <row r="23" spans="1:239" ht="19.5" x14ac:dyDescent="0.35">
      <c r="A23" s="56"/>
      <c r="B23" s="87"/>
      <c r="C23" s="89"/>
      <c r="D23" s="90"/>
      <c r="E23" s="91"/>
      <c r="F23" s="92"/>
      <c r="G23" s="106"/>
      <c r="H23" s="107"/>
      <c r="I23" s="108">
        <f t="shared" ref="I23:I32" si="0">F23*H23</f>
        <v>0</v>
      </c>
      <c r="J23" s="109"/>
      <c r="K23" s="57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</row>
    <row r="24" spans="1:239" ht="19.5" x14ac:dyDescent="0.35">
      <c r="A24" s="56"/>
      <c r="B24" s="88"/>
      <c r="C24" s="89"/>
      <c r="D24" s="90"/>
      <c r="E24" s="91"/>
      <c r="F24" s="92"/>
      <c r="G24" s="106"/>
      <c r="H24" s="107"/>
      <c r="I24" s="108">
        <f t="shared" si="0"/>
        <v>0</v>
      </c>
      <c r="J24" s="109"/>
      <c r="K24" s="57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</row>
    <row r="25" spans="1:239" ht="19.5" x14ac:dyDescent="0.35">
      <c r="A25" s="56"/>
      <c r="B25" s="88"/>
      <c r="C25" s="89"/>
      <c r="D25" s="90"/>
      <c r="E25" s="91"/>
      <c r="F25" s="92"/>
      <c r="G25" s="106"/>
      <c r="H25" s="107"/>
      <c r="I25" s="108">
        <f t="shared" si="0"/>
        <v>0</v>
      </c>
      <c r="J25" s="109"/>
      <c r="K25" s="57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</row>
    <row r="26" spans="1:239" ht="19.5" x14ac:dyDescent="0.35">
      <c r="A26" s="56"/>
      <c r="B26" s="88"/>
      <c r="C26" s="89"/>
      <c r="D26" s="90"/>
      <c r="E26" s="91"/>
      <c r="F26" s="92"/>
      <c r="G26" s="106"/>
      <c r="H26" s="107"/>
      <c r="I26" s="108">
        <f t="shared" si="0"/>
        <v>0</v>
      </c>
      <c r="J26" s="109"/>
      <c r="K26" s="57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</row>
    <row r="27" spans="1:239" ht="19.5" x14ac:dyDescent="0.35">
      <c r="A27" s="56"/>
      <c r="B27" s="88"/>
      <c r="C27" s="89"/>
      <c r="D27" s="90"/>
      <c r="E27" s="91"/>
      <c r="F27" s="92"/>
      <c r="G27" s="106"/>
      <c r="H27" s="107"/>
      <c r="I27" s="108">
        <f t="shared" si="0"/>
        <v>0</v>
      </c>
      <c r="J27" s="109"/>
      <c r="K27" s="57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</row>
    <row r="28" spans="1:239" ht="19.5" x14ac:dyDescent="0.35">
      <c r="A28" s="56"/>
      <c r="B28" s="88"/>
      <c r="C28" s="89"/>
      <c r="D28" s="90"/>
      <c r="E28" s="91"/>
      <c r="F28" s="92"/>
      <c r="G28" s="106"/>
      <c r="H28" s="107"/>
      <c r="I28" s="108">
        <f>F28*H28</f>
        <v>0</v>
      </c>
      <c r="J28" s="109"/>
      <c r="K28" s="57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</row>
    <row r="29" spans="1:239" ht="19.5" x14ac:dyDescent="0.35">
      <c r="A29" s="56"/>
      <c r="B29" s="88"/>
      <c r="C29" s="89"/>
      <c r="D29" s="90"/>
      <c r="E29" s="91"/>
      <c r="F29" s="92"/>
      <c r="G29" s="106"/>
      <c r="H29" s="107"/>
      <c r="I29" s="108">
        <f t="shared" si="0"/>
        <v>0</v>
      </c>
      <c r="J29" s="109"/>
      <c r="K29" s="57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</row>
    <row r="30" spans="1:239" ht="19.5" x14ac:dyDescent="0.35">
      <c r="A30" s="56"/>
      <c r="B30" s="88"/>
      <c r="C30" s="89"/>
      <c r="D30" s="90"/>
      <c r="E30" s="91"/>
      <c r="F30" s="92"/>
      <c r="G30" s="106"/>
      <c r="H30" s="107"/>
      <c r="I30" s="108">
        <f t="shared" si="0"/>
        <v>0</v>
      </c>
      <c r="J30" s="109"/>
      <c r="K30" s="57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  <c r="HY30" s="3"/>
      <c r="HZ30" s="3"/>
      <c r="IA30" s="3"/>
      <c r="IB30" s="3"/>
      <c r="IC30" s="3"/>
      <c r="ID30" s="3"/>
      <c r="IE30" s="3"/>
    </row>
    <row r="31" spans="1:239" ht="19.5" x14ac:dyDescent="0.35">
      <c r="A31" s="56"/>
      <c r="B31" s="88"/>
      <c r="C31" s="89"/>
      <c r="D31" s="90" t="s">
        <v>18</v>
      </c>
      <c r="E31" s="91"/>
      <c r="F31" s="92"/>
      <c r="G31" s="106"/>
      <c r="H31" s="107"/>
      <c r="I31" s="108">
        <f t="shared" si="0"/>
        <v>0</v>
      </c>
      <c r="J31" s="109"/>
      <c r="K31" s="57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3"/>
      <c r="HT31" s="3"/>
      <c r="HU31" s="3"/>
      <c r="HV31" s="3"/>
      <c r="HW31" s="3"/>
      <c r="HX31" s="3"/>
      <c r="HY31" s="3"/>
      <c r="HZ31" s="3"/>
      <c r="IA31" s="3"/>
      <c r="IB31" s="3"/>
      <c r="IC31" s="3"/>
      <c r="ID31" s="3"/>
      <c r="IE31" s="3"/>
    </row>
    <row r="32" spans="1:239" ht="19.5" x14ac:dyDescent="0.35">
      <c r="A32" s="56"/>
      <c r="B32" s="88"/>
      <c r="C32" s="89"/>
      <c r="D32" s="90"/>
      <c r="E32" s="91"/>
      <c r="F32" s="92"/>
      <c r="G32" s="106"/>
      <c r="H32" s="107"/>
      <c r="I32" s="108">
        <f t="shared" si="0"/>
        <v>0</v>
      </c>
      <c r="J32" s="109"/>
      <c r="K32" s="58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/>
      <c r="HR32" s="3"/>
      <c r="HS32" s="3"/>
      <c r="HT32" s="3"/>
      <c r="HU32" s="3"/>
      <c r="HV32" s="3"/>
      <c r="HW32" s="3"/>
      <c r="HX32" s="3"/>
      <c r="HY32" s="3"/>
      <c r="HZ32" s="3"/>
      <c r="IA32" s="3"/>
      <c r="IB32" s="3"/>
      <c r="IC32" s="3"/>
      <c r="ID32" s="3"/>
      <c r="IE32" s="3"/>
    </row>
    <row r="33" spans="1:239" ht="19.5" customHeight="1" x14ac:dyDescent="0.2">
      <c r="A33" s="59" t="s">
        <v>12</v>
      </c>
      <c r="B33" s="60"/>
      <c r="C33" s="61"/>
      <c r="D33" s="61"/>
      <c r="E33" s="62"/>
      <c r="F33" s="110" t="s">
        <v>87</v>
      </c>
      <c r="G33" s="110"/>
      <c r="H33" s="111"/>
      <c r="I33" s="112">
        <f>SUM(I22:J32)</f>
        <v>0</v>
      </c>
      <c r="J33" s="113"/>
      <c r="K33" s="63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</row>
    <row r="34" spans="1:239" x14ac:dyDescent="0.2">
      <c r="A34" s="64"/>
      <c r="B34" s="61"/>
      <c r="C34" s="61"/>
      <c r="D34" s="61"/>
      <c r="E34" s="61"/>
      <c r="F34" s="61"/>
      <c r="G34" s="65"/>
      <c r="H34" s="4"/>
      <c r="I34" s="11"/>
      <c r="J34" s="4"/>
      <c r="K34" s="66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</row>
    <row r="35" spans="1:239" x14ac:dyDescent="0.2">
      <c r="A35" s="67"/>
      <c r="B35" s="68"/>
      <c r="C35" s="68"/>
      <c r="D35" s="68"/>
      <c r="E35" s="68"/>
      <c r="F35" s="68"/>
      <c r="G35" s="69"/>
      <c r="H35" s="70" t="s">
        <v>13</v>
      </c>
      <c r="I35" s="70"/>
      <c r="J35" s="70"/>
      <c r="K35" s="7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</row>
    <row r="36" spans="1:239" x14ac:dyDescent="0.15">
      <c r="A36" s="72"/>
      <c r="C36" s="4"/>
      <c r="D36" s="4"/>
      <c r="E36" s="4"/>
      <c r="F36" s="4"/>
      <c r="G36" s="11"/>
      <c r="H36" s="4"/>
      <c r="I36" s="4"/>
      <c r="J36" s="4"/>
      <c r="K36" s="4"/>
    </row>
    <row r="37" spans="1:239" ht="24.75" customHeight="1" x14ac:dyDescent="0.15">
      <c r="B37"/>
      <c r="G37"/>
    </row>
    <row r="38" spans="1:239" ht="24.75" customHeight="1" x14ac:dyDescent="0.15">
      <c r="B38"/>
      <c r="G38"/>
    </row>
    <row r="39" spans="1:239" ht="24.75" customHeight="1" x14ac:dyDescent="0.15">
      <c r="B39"/>
      <c r="G39"/>
    </row>
    <row r="40" spans="1:239" ht="24.75" customHeight="1" x14ac:dyDescent="0.15">
      <c r="B40"/>
      <c r="G40"/>
    </row>
    <row r="41" spans="1:239" ht="24.75" customHeight="1" x14ac:dyDescent="0.15">
      <c r="B41"/>
      <c r="G41"/>
    </row>
    <row r="42" spans="1:239" ht="24.75" customHeight="1" x14ac:dyDescent="0.15">
      <c r="B42"/>
      <c r="G42"/>
    </row>
    <row r="43" spans="1:239" ht="24.75" customHeight="1" x14ac:dyDescent="0.15">
      <c r="B43"/>
      <c r="G43"/>
    </row>
    <row r="44" spans="1:239" ht="24.75" customHeight="1" x14ac:dyDescent="0.15">
      <c r="B44"/>
      <c r="G44"/>
    </row>
    <row r="45" spans="1:239" ht="24.75" customHeight="1" x14ac:dyDescent="0.15">
      <c r="B45"/>
      <c r="G45"/>
    </row>
    <row r="46" spans="1:239" ht="24.75" customHeight="1" x14ac:dyDescent="0.15">
      <c r="B46"/>
      <c r="G46"/>
    </row>
    <row r="47" spans="1:239" ht="24.75" customHeight="1" x14ac:dyDescent="0.15">
      <c r="B47"/>
      <c r="G47"/>
    </row>
    <row r="48" spans="1:239" ht="24.75" customHeight="1" x14ac:dyDescent="0.15">
      <c r="B48"/>
      <c r="G48"/>
    </row>
    <row r="49" spans="2:7" ht="24.75" customHeight="1" x14ac:dyDescent="0.15">
      <c r="B49"/>
      <c r="G49"/>
    </row>
    <row r="50" spans="2:7" ht="24.75" customHeight="1" x14ac:dyDescent="0.15">
      <c r="B50"/>
      <c r="G50"/>
    </row>
    <row r="51" spans="2:7" ht="24.75" customHeight="1" x14ac:dyDescent="0.15">
      <c r="B51"/>
      <c r="G51"/>
    </row>
    <row r="52" spans="2:7" ht="24.75" customHeight="1" x14ac:dyDescent="0.15">
      <c r="B52"/>
      <c r="G52"/>
    </row>
    <row r="53" spans="2:7" ht="24.75" customHeight="1" x14ac:dyDescent="0.15">
      <c r="B53"/>
      <c r="G53"/>
    </row>
    <row r="54" spans="2:7" ht="24.75" customHeight="1" x14ac:dyDescent="0.15">
      <c r="B54"/>
      <c r="G54"/>
    </row>
    <row r="55" spans="2:7" ht="24.75" customHeight="1" x14ac:dyDescent="0.15">
      <c r="B55"/>
      <c r="G55"/>
    </row>
    <row r="56" spans="2:7" ht="24.75" customHeight="1" x14ac:dyDescent="0.15">
      <c r="B56"/>
      <c r="G56"/>
    </row>
    <row r="57" spans="2:7" ht="24.75" customHeight="1" x14ac:dyDescent="0.15">
      <c r="B57"/>
      <c r="G57"/>
    </row>
    <row r="58" spans="2:7" ht="24.75" customHeight="1" x14ac:dyDescent="0.15">
      <c r="B58"/>
      <c r="G58"/>
    </row>
    <row r="59" spans="2:7" ht="24.75" customHeight="1" x14ac:dyDescent="0.15">
      <c r="B59"/>
      <c r="G59"/>
    </row>
    <row r="60" spans="2:7" ht="24.75" customHeight="1" x14ac:dyDescent="0.15">
      <c r="B60"/>
      <c r="G60"/>
    </row>
    <row r="61" spans="2:7" ht="12" customHeight="1" x14ac:dyDescent="0.15">
      <c r="B61"/>
      <c r="G61"/>
    </row>
    <row r="62" spans="2:7" ht="24.75" customHeight="1" x14ac:dyDescent="0.15">
      <c r="B62"/>
      <c r="G62"/>
    </row>
    <row r="63" spans="2:7" ht="24.75" customHeight="1" x14ac:dyDescent="0.15">
      <c r="B63"/>
      <c r="G63"/>
    </row>
    <row r="64" spans="2:7" ht="24.75" customHeight="1" x14ac:dyDescent="0.15">
      <c r="B64"/>
      <c r="G64"/>
    </row>
    <row r="65" spans="2:7" ht="24.75" customHeight="1" x14ac:dyDescent="0.15">
      <c r="B65"/>
      <c r="G65"/>
    </row>
    <row r="66" spans="2:7" ht="24.75" customHeight="1" x14ac:dyDescent="0.15">
      <c r="B66"/>
      <c r="G66"/>
    </row>
    <row r="67" spans="2:7" ht="24.75" customHeight="1" x14ac:dyDescent="0.15">
      <c r="B67"/>
      <c r="G67"/>
    </row>
    <row r="68" spans="2:7" ht="24.75" customHeight="1" x14ac:dyDescent="0.15">
      <c r="B68"/>
      <c r="G68"/>
    </row>
    <row r="69" spans="2:7" ht="24.75" customHeight="1" x14ac:dyDescent="0.15">
      <c r="B69"/>
      <c r="G69"/>
    </row>
    <row r="70" spans="2:7" ht="24.75" customHeight="1" x14ac:dyDescent="0.15">
      <c r="B70"/>
      <c r="G70"/>
    </row>
    <row r="71" spans="2:7" ht="24.75" customHeight="1" x14ac:dyDescent="0.15">
      <c r="B71"/>
      <c r="G71"/>
    </row>
    <row r="72" spans="2:7" ht="24.75" customHeight="1" x14ac:dyDescent="0.15">
      <c r="B72"/>
      <c r="G72"/>
    </row>
    <row r="73" spans="2:7" ht="24.75" customHeight="1" x14ac:dyDescent="0.15">
      <c r="B73"/>
      <c r="G73"/>
    </row>
    <row r="74" spans="2:7" ht="24.75" customHeight="1" x14ac:dyDescent="0.15">
      <c r="B74"/>
      <c r="G74"/>
    </row>
    <row r="75" spans="2:7" ht="24.75" customHeight="1" x14ac:dyDescent="0.15">
      <c r="B75"/>
      <c r="G75"/>
    </row>
    <row r="76" spans="2:7" ht="24.75" customHeight="1" x14ac:dyDescent="0.15">
      <c r="B76"/>
      <c r="G76"/>
    </row>
    <row r="77" spans="2:7" ht="24.75" customHeight="1" x14ac:dyDescent="0.15">
      <c r="B77"/>
      <c r="G77"/>
    </row>
    <row r="78" spans="2:7" ht="24.75" customHeight="1" x14ac:dyDescent="0.15">
      <c r="B78"/>
      <c r="G78"/>
    </row>
    <row r="79" spans="2:7" ht="24.75" customHeight="1" x14ac:dyDescent="0.15">
      <c r="B79"/>
      <c r="G79"/>
    </row>
    <row r="80" spans="2:7" ht="24.75" customHeight="1" x14ac:dyDescent="0.15">
      <c r="B80"/>
      <c r="G80"/>
    </row>
    <row r="81" spans="2:7" ht="24.75" customHeight="1" x14ac:dyDescent="0.15">
      <c r="B81"/>
      <c r="G81"/>
    </row>
    <row r="82" spans="2:7" ht="24.75" customHeight="1" x14ac:dyDescent="0.15">
      <c r="B82"/>
      <c r="G82"/>
    </row>
    <row r="83" spans="2:7" ht="24.75" customHeight="1" x14ac:dyDescent="0.15">
      <c r="B83"/>
      <c r="G83"/>
    </row>
    <row r="84" spans="2:7" ht="24.75" customHeight="1" x14ac:dyDescent="0.15">
      <c r="B84"/>
      <c r="G84"/>
    </row>
    <row r="85" spans="2:7" ht="24.75" customHeight="1" x14ac:dyDescent="0.15">
      <c r="B85"/>
      <c r="G85"/>
    </row>
    <row r="86" spans="2:7" ht="12" customHeight="1" x14ac:dyDescent="0.15">
      <c r="B86"/>
      <c r="G86"/>
    </row>
    <row r="87" spans="2:7" ht="24.75" customHeight="1" x14ac:dyDescent="0.15">
      <c r="B87"/>
      <c r="G87"/>
    </row>
    <row r="88" spans="2:7" ht="24.75" customHeight="1" x14ac:dyDescent="0.15">
      <c r="B88"/>
      <c r="G88"/>
    </row>
    <row r="89" spans="2:7" ht="24.75" customHeight="1" x14ac:dyDescent="0.15">
      <c r="B89"/>
      <c r="G89"/>
    </row>
    <row r="90" spans="2:7" ht="24.75" customHeight="1" x14ac:dyDescent="0.15">
      <c r="B90"/>
      <c r="G90"/>
    </row>
    <row r="91" spans="2:7" ht="24.75" customHeight="1" x14ac:dyDescent="0.15">
      <c r="B91"/>
      <c r="G91"/>
    </row>
    <row r="92" spans="2:7" ht="24.75" customHeight="1" x14ac:dyDescent="0.15">
      <c r="B92"/>
      <c r="G92"/>
    </row>
    <row r="93" spans="2:7" ht="24.75" customHeight="1" x14ac:dyDescent="0.15">
      <c r="B93"/>
      <c r="G93"/>
    </row>
    <row r="94" spans="2:7" ht="24.75" customHeight="1" x14ac:dyDescent="0.15">
      <c r="B94"/>
      <c r="G94"/>
    </row>
    <row r="95" spans="2:7" ht="24.75" customHeight="1" x14ac:dyDescent="0.15">
      <c r="B95"/>
      <c r="G95"/>
    </row>
    <row r="96" spans="2:7" ht="24.75" customHeight="1" x14ac:dyDescent="0.15">
      <c r="B96"/>
      <c r="G96"/>
    </row>
    <row r="97" spans="2:7" ht="24.75" customHeight="1" x14ac:dyDescent="0.15">
      <c r="B97"/>
      <c r="G97"/>
    </row>
    <row r="98" spans="2:7" ht="24.75" customHeight="1" x14ac:dyDescent="0.15">
      <c r="B98"/>
      <c r="G98"/>
    </row>
    <row r="99" spans="2:7" ht="24.75" customHeight="1" x14ac:dyDescent="0.15">
      <c r="B99"/>
      <c r="G99"/>
    </row>
    <row r="100" spans="2:7" ht="24.75" customHeight="1" x14ac:dyDescent="0.15">
      <c r="B100"/>
      <c r="G100"/>
    </row>
    <row r="101" spans="2:7" ht="24.75" customHeight="1" x14ac:dyDescent="0.15">
      <c r="B101"/>
      <c r="G101"/>
    </row>
    <row r="102" spans="2:7" ht="24.75" customHeight="1" x14ac:dyDescent="0.15">
      <c r="B102"/>
      <c r="G102"/>
    </row>
    <row r="103" spans="2:7" ht="24.75" customHeight="1" x14ac:dyDescent="0.15">
      <c r="B103"/>
      <c r="G103"/>
    </row>
    <row r="104" spans="2:7" ht="24.75" customHeight="1" x14ac:dyDescent="0.15">
      <c r="B104"/>
      <c r="G104"/>
    </row>
    <row r="105" spans="2:7" ht="24.75" customHeight="1" x14ac:dyDescent="0.15">
      <c r="B105"/>
      <c r="G105"/>
    </row>
    <row r="106" spans="2:7" ht="24.75" customHeight="1" x14ac:dyDescent="0.15">
      <c r="B106"/>
      <c r="G106"/>
    </row>
    <row r="107" spans="2:7" ht="24.75" customHeight="1" x14ac:dyDescent="0.15">
      <c r="B107"/>
      <c r="G107"/>
    </row>
    <row r="108" spans="2:7" ht="24.75" customHeight="1" x14ac:dyDescent="0.15">
      <c r="B108"/>
      <c r="G108"/>
    </row>
    <row r="109" spans="2:7" ht="24.75" customHeight="1" x14ac:dyDescent="0.15">
      <c r="B109"/>
      <c r="G109"/>
    </row>
    <row r="110" spans="2:7" ht="24.75" customHeight="1" x14ac:dyDescent="0.15">
      <c r="B110"/>
      <c r="G110"/>
    </row>
    <row r="111" spans="2:7" ht="12" customHeight="1" x14ac:dyDescent="0.15">
      <c r="B111"/>
      <c r="G111"/>
    </row>
    <row r="112" spans="2:7" ht="24.75" customHeight="1" x14ac:dyDescent="0.15">
      <c r="B112"/>
      <c r="G112"/>
    </row>
    <row r="113" spans="2:7" ht="24.75" customHeight="1" x14ac:dyDescent="0.15">
      <c r="B113"/>
      <c r="G113"/>
    </row>
    <row r="114" spans="2:7" ht="24.75" customHeight="1" x14ac:dyDescent="0.15">
      <c r="B114"/>
      <c r="G114"/>
    </row>
    <row r="115" spans="2:7" ht="24.75" customHeight="1" x14ac:dyDescent="0.15">
      <c r="B115"/>
      <c r="G115"/>
    </row>
    <row r="116" spans="2:7" ht="24.75" customHeight="1" x14ac:dyDescent="0.15">
      <c r="B116"/>
      <c r="G116"/>
    </row>
    <row r="117" spans="2:7" ht="24.75" customHeight="1" x14ac:dyDescent="0.15">
      <c r="B117"/>
      <c r="G117"/>
    </row>
    <row r="118" spans="2:7" ht="24.75" customHeight="1" x14ac:dyDescent="0.15">
      <c r="B118"/>
      <c r="G118"/>
    </row>
    <row r="119" spans="2:7" ht="24.75" customHeight="1" x14ac:dyDescent="0.15">
      <c r="B119"/>
      <c r="G119"/>
    </row>
    <row r="120" spans="2:7" ht="24.75" customHeight="1" x14ac:dyDescent="0.15">
      <c r="B120"/>
      <c r="G120"/>
    </row>
    <row r="121" spans="2:7" ht="24.75" customHeight="1" x14ac:dyDescent="0.15">
      <c r="B121"/>
      <c r="G121"/>
    </row>
    <row r="122" spans="2:7" ht="24.75" customHeight="1" x14ac:dyDescent="0.15">
      <c r="B122"/>
      <c r="G122"/>
    </row>
    <row r="123" spans="2:7" ht="24.75" customHeight="1" x14ac:dyDescent="0.15">
      <c r="B123"/>
      <c r="G123"/>
    </row>
    <row r="124" spans="2:7" ht="24.75" customHeight="1" x14ac:dyDescent="0.15">
      <c r="B124"/>
      <c r="G124"/>
    </row>
    <row r="125" spans="2:7" ht="24.75" customHeight="1" x14ac:dyDescent="0.15">
      <c r="B125"/>
      <c r="G125"/>
    </row>
    <row r="126" spans="2:7" ht="24.75" customHeight="1" x14ac:dyDescent="0.15">
      <c r="B126"/>
      <c r="G126"/>
    </row>
    <row r="127" spans="2:7" ht="24.75" customHeight="1" x14ac:dyDescent="0.15">
      <c r="B127"/>
      <c r="G127"/>
    </row>
    <row r="128" spans="2:7" ht="24.75" customHeight="1" x14ac:dyDescent="0.15">
      <c r="B128"/>
      <c r="G128"/>
    </row>
    <row r="129" spans="2:7" ht="24.75" customHeight="1" x14ac:dyDescent="0.15">
      <c r="B129"/>
      <c r="G129"/>
    </row>
    <row r="130" spans="2:7" ht="24.75" customHeight="1" x14ac:dyDescent="0.15">
      <c r="B130"/>
      <c r="G130"/>
    </row>
    <row r="131" spans="2:7" ht="24.75" customHeight="1" x14ac:dyDescent="0.15">
      <c r="B131"/>
      <c r="G131"/>
    </row>
    <row r="132" spans="2:7" ht="24.75" customHeight="1" x14ac:dyDescent="0.15">
      <c r="B132"/>
      <c r="G132"/>
    </row>
    <row r="133" spans="2:7" ht="24.75" customHeight="1" x14ac:dyDescent="0.15">
      <c r="B133"/>
      <c r="G133"/>
    </row>
    <row r="134" spans="2:7" ht="24.75" customHeight="1" x14ac:dyDescent="0.15">
      <c r="B134"/>
      <c r="G134"/>
    </row>
    <row r="135" spans="2:7" ht="24.75" customHeight="1" x14ac:dyDescent="0.15">
      <c r="B135"/>
      <c r="G135"/>
    </row>
    <row r="136" spans="2:7" ht="12" customHeight="1" x14ac:dyDescent="0.15">
      <c r="B136"/>
      <c r="G136"/>
    </row>
    <row r="137" spans="2:7" ht="24.75" customHeight="1" x14ac:dyDescent="0.15">
      <c r="B137"/>
      <c r="G137"/>
    </row>
    <row r="138" spans="2:7" ht="24.75" customHeight="1" x14ac:dyDescent="0.15">
      <c r="B138"/>
      <c r="G138"/>
    </row>
    <row r="139" spans="2:7" ht="24.75" customHeight="1" x14ac:dyDescent="0.15">
      <c r="B139"/>
      <c r="G139"/>
    </row>
    <row r="140" spans="2:7" ht="24.75" customHeight="1" x14ac:dyDescent="0.15">
      <c r="B140"/>
      <c r="G140"/>
    </row>
    <row r="141" spans="2:7" ht="24.75" customHeight="1" x14ac:dyDescent="0.15">
      <c r="B141"/>
      <c r="G141"/>
    </row>
    <row r="142" spans="2:7" ht="24.75" customHeight="1" x14ac:dyDescent="0.15">
      <c r="B142"/>
      <c r="G142"/>
    </row>
    <row r="143" spans="2:7" ht="24.75" customHeight="1" x14ac:dyDescent="0.15">
      <c r="B143"/>
      <c r="G143"/>
    </row>
    <row r="144" spans="2:7" ht="24.75" customHeight="1" x14ac:dyDescent="0.15">
      <c r="B144"/>
      <c r="G144"/>
    </row>
    <row r="145" spans="2:7" ht="24.75" customHeight="1" x14ac:dyDescent="0.15">
      <c r="B145"/>
      <c r="G145"/>
    </row>
    <row r="146" spans="2:7" ht="24.75" customHeight="1" x14ac:dyDescent="0.15">
      <c r="B146"/>
      <c r="G146"/>
    </row>
    <row r="147" spans="2:7" ht="24.75" customHeight="1" x14ac:dyDescent="0.15">
      <c r="B147"/>
      <c r="G147"/>
    </row>
    <row r="148" spans="2:7" ht="24.75" customHeight="1" x14ac:dyDescent="0.15">
      <c r="B148"/>
      <c r="G148"/>
    </row>
    <row r="149" spans="2:7" ht="24.75" customHeight="1" x14ac:dyDescent="0.15">
      <c r="B149"/>
      <c r="G149"/>
    </row>
    <row r="150" spans="2:7" ht="24.75" customHeight="1" x14ac:dyDescent="0.15">
      <c r="B150"/>
      <c r="G150"/>
    </row>
    <row r="151" spans="2:7" ht="24.75" customHeight="1" x14ac:dyDescent="0.15">
      <c r="B151"/>
      <c r="G151"/>
    </row>
    <row r="152" spans="2:7" ht="24.75" customHeight="1" x14ac:dyDescent="0.15">
      <c r="B152"/>
      <c r="G152"/>
    </row>
    <row r="153" spans="2:7" ht="24.75" customHeight="1" x14ac:dyDescent="0.15">
      <c r="B153"/>
      <c r="G153"/>
    </row>
    <row r="154" spans="2:7" ht="24.75" customHeight="1" x14ac:dyDescent="0.15">
      <c r="B154"/>
      <c r="G154"/>
    </row>
    <row r="155" spans="2:7" ht="24.75" customHeight="1" x14ac:dyDescent="0.15">
      <c r="B155"/>
      <c r="G155"/>
    </row>
    <row r="156" spans="2:7" ht="24.75" customHeight="1" x14ac:dyDescent="0.15">
      <c r="B156"/>
      <c r="G156"/>
    </row>
    <row r="157" spans="2:7" ht="24.75" customHeight="1" x14ac:dyDescent="0.15">
      <c r="B157"/>
      <c r="G157"/>
    </row>
    <row r="158" spans="2:7" ht="24.75" customHeight="1" x14ac:dyDescent="0.15">
      <c r="B158"/>
      <c r="G158"/>
    </row>
    <row r="159" spans="2:7" ht="24.75" customHeight="1" x14ac:dyDescent="0.15">
      <c r="B159"/>
      <c r="G159"/>
    </row>
    <row r="160" spans="2:7" ht="24.75" customHeight="1" x14ac:dyDescent="0.15">
      <c r="B160"/>
      <c r="G160"/>
    </row>
    <row r="161" spans="2:7" ht="12" customHeight="1" x14ac:dyDescent="0.15">
      <c r="B161"/>
      <c r="G161"/>
    </row>
    <row r="162" spans="2:7" ht="24.75" customHeight="1" x14ac:dyDescent="0.15">
      <c r="B162"/>
      <c r="G162"/>
    </row>
    <row r="163" spans="2:7" ht="24.75" customHeight="1" x14ac:dyDescent="0.15">
      <c r="B163"/>
      <c r="G163"/>
    </row>
    <row r="164" spans="2:7" ht="24.75" customHeight="1" x14ac:dyDescent="0.15">
      <c r="B164"/>
      <c r="G164"/>
    </row>
    <row r="165" spans="2:7" ht="24.75" customHeight="1" x14ac:dyDescent="0.15">
      <c r="B165"/>
      <c r="G165"/>
    </row>
    <row r="166" spans="2:7" ht="24.75" customHeight="1" x14ac:dyDescent="0.15">
      <c r="B166"/>
      <c r="G166"/>
    </row>
    <row r="167" spans="2:7" ht="24.75" customHeight="1" x14ac:dyDescent="0.15">
      <c r="B167"/>
      <c r="G167"/>
    </row>
    <row r="168" spans="2:7" ht="24.75" customHeight="1" x14ac:dyDescent="0.15">
      <c r="B168"/>
      <c r="G168"/>
    </row>
    <row r="169" spans="2:7" ht="24.75" customHeight="1" x14ac:dyDescent="0.15">
      <c r="B169"/>
      <c r="G169"/>
    </row>
    <row r="170" spans="2:7" ht="24.75" customHeight="1" x14ac:dyDescent="0.15">
      <c r="B170"/>
      <c r="G170"/>
    </row>
    <row r="171" spans="2:7" ht="24.75" customHeight="1" x14ac:dyDescent="0.15">
      <c r="B171"/>
      <c r="G171"/>
    </row>
    <row r="172" spans="2:7" ht="24.75" customHeight="1" x14ac:dyDescent="0.15">
      <c r="B172"/>
      <c r="G172"/>
    </row>
    <row r="173" spans="2:7" ht="24.75" customHeight="1" x14ac:dyDescent="0.15">
      <c r="B173"/>
      <c r="G173"/>
    </row>
    <row r="174" spans="2:7" ht="24.75" customHeight="1" x14ac:dyDescent="0.15">
      <c r="B174"/>
      <c r="G174"/>
    </row>
    <row r="175" spans="2:7" ht="24.75" customHeight="1" x14ac:dyDescent="0.15">
      <c r="B175"/>
      <c r="G175"/>
    </row>
    <row r="176" spans="2:7" ht="24.75" customHeight="1" x14ac:dyDescent="0.15">
      <c r="B176"/>
      <c r="G176"/>
    </row>
    <row r="177" spans="2:7" ht="24.75" customHeight="1" x14ac:dyDescent="0.15">
      <c r="B177"/>
      <c r="G177"/>
    </row>
    <row r="178" spans="2:7" ht="24.75" customHeight="1" x14ac:dyDescent="0.15">
      <c r="B178"/>
      <c r="G178"/>
    </row>
    <row r="179" spans="2:7" ht="24.75" customHeight="1" x14ac:dyDescent="0.15">
      <c r="B179"/>
      <c r="G179"/>
    </row>
    <row r="180" spans="2:7" ht="24.75" customHeight="1" x14ac:dyDescent="0.15">
      <c r="B180"/>
      <c r="G180"/>
    </row>
    <row r="181" spans="2:7" ht="24.75" customHeight="1" x14ac:dyDescent="0.15">
      <c r="B181"/>
      <c r="G181"/>
    </row>
    <row r="182" spans="2:7" ht="24.75" customHeight="1" x14ac:dyDescent="0.15">
      <c r="B182"/>
      <c r="G182"/>
    </row>
    <row r="183" spans="2:7" ht="24.75" customHeight="1" x14ac:dyDescent="0.15">
      <c r="B183"/>
      <c r="G183"/>
    </row>
    <row r="184" spans="2:7" ht="24.75" customHeight="1" x14ac:dyDescent="0.15">
      <c r="B184"/>
      <c r="G184"/>
    </row>
    <row r="185" spans="2:7" ht="24.75" customHeight="1" x14ac:dyDescent="0.15">
      <c r="B185"/>
      <c r="G185"/>
    </row>
    <row r="186" spans="2:7" ht="12" customHeight="1" x14ac:dyDescent="0.15">
      <c r="B186"/>
      <c r="G186"/>
    </row>
    <row r="187" spans="2:7" ht="24.75" customHeight="1" x14ac:dyDescent="0.15">
      <c r="B187"/>
      <c r="G187"/>
    </row>
    <row r="188" spans="2:7" ht="24.75" customHeight="1" x14ac:dyDescent="0.15">
      <c r="B188"/>
      <c r="G188"/>
    </row>
    <row r="189" spans="2:7" ht="24.75" customHeight="1" x14ac:dyDescent="0.15">
      <c r="B189"/>
      <c r="G189"/>
    </row>
    <row r="190" spans="2:7" ht="24.75" customHeight="1" x14ac:dyDescent="0.15">
      <c r="B190"/>
      <c r="G190"/>
    </row>
    <row r="191" spans="2:7" ht="24.75" customHeight="1" x14ac:dyDescent="0.15">
      <c r="B191"/>
      <c r="G191"/>
    </row>
    <row r="192" spans="2:7" ht="24.75" customHeight="1" x14ac:dyDescent="0.15">
      <c r="B192"/>
      <c r="G192"/>
    </row>
    <row r="193" spans="2:7" ht="24.75" customHeight="1" x14ac:dyDescent="0.15">
      <c r="B193"/>
      <c r="G193"/>
    </row>
    <row r="194" spans="2:7" ht="24.75" customHeight="1" x14ac:dyDescent="0.15">
      <c r="B194"/>
      <c r="G194"/>
    </row>
    <row r="195" spans="2:7" ht="24.75" customHeight="1" x14ac:dyDescent="0.15">
      <c r="B195"/>
      <c r="G195"/>
    </row>
    <row r="196" spans="2:7" ht="24.75" customHeight="1" x14ac:dyDescent="0.15">
      <c r="B196"/>
      <c r="G196"/>
    </row>
    <row r="197" spans="2:7" ht="24.75" customHeight="1" x14ac:dyDescent="0.15">
      <c r="B197"/>
      <c r="G197"/>
    </row>
    <row r="198" spans="2:7" ht="24.75" customHeight="1" x14ac:dyDescent="0.15">
      <c r="B198"/>
      <c r="G198"/>
    </row>
    <row r="199" spans="2:7" ht="24.75" customHeight="1" x14ac:dyDescent="0.15">
      <c r="B199"/>
      <c r="G199"/>
    </row>
    <row r="200" spans="2:7" ht="24.75" customHeight="1" x14ac:dyDescent="0.15">
      <c r="B200"/>
      <c r="G200"/>
    </row>
    <row r="201" spans="2:7" ht="24.75" customHeight="1" x14ac:dyDescent="0.15">
      <c r="B201"/>
      <c r="G201"/>
    </row>
    <row r="202" spans="2:7" ht="24.75" customHeight="1" x14ac:dyDescent="0.15">
      <c r="B202"/>
      <c r="G202"/>
    </row>
    <row r="203" spans="2:7" ht="24.75" customHeight="1" x14ac:dyDescent="0.15">
      <c r="B203"/>
      <c r="G203"/>
    </row>
    <row r="204" spans="2:7" ht="24.75" customHeight="1" x14ac:dyDescent="0.15">
      <c r="B204"/>
      <c r="G204"/>
    </row>
    <row r="205" spans="2:7" ht="24.75" customHeight="1" x14ac:dyDescent="0.15">
      <c r="B205"/>
      <c r="G205"/>
    </row>
    <row r="206" spans="2:7" ht="24.75" customHeight="1" x14ac:dyDescent="0.15">
      <c r="B206"/>
      <c r="G206"/>
    </row>
    <row r="207" spans="2:7" ht="24.75" customHeight="1" x14ac:dyDescent="0.15">
      <c r="B207"/>
      <c r="G207"/>
    </row>
    <row r="208" spans="2:7" ht="24.75" customHeight="1" x14ac:dyDescent="0.15">
      <c r="B208"/>
      <c r="G208"/>
    </row>
    <row r="209" spans="2:7" ht="24.75" customHeight="1" x14ac:dyDescent="0.15">
      <c r="B209"/>
      <c r="G209"/>
    </row>
    <row r="210" spans="2:7" ht="24.75" customHeight="1" x14ac:dyDescent="0.15">
      <c r="B210"/>
      <c r="G210"/>
    </row>
    <row r="211" spans="2:7" ht="12" customHeight="1" x14ac:dyDescent="0.15">
      <c r="B211"/>
      <c r="G211"/>
    </row>
    <row r="212" spans="2:7" ht="24.75" customHeight="1" x14ac:dyDescent="0.15">
      <c r="B212"/>
      <c r="G212"/>
    </row>
    <row r="213" spans="2:7" ht="24.75" customHeight="1" x14ac:dyDescent="0.15">
      <c r="B213"/>
      <c r="G213"/>
    </row>
    <row r="214" spans="2:7" ht="24.75" customHeight="1" x14ac:dyDescent="0.15">
      <c r="B214"/>
      <c r="G214"/>
    </row>
    <row r="215" spans="2:7" ht="24.75" customHeight="1" x14ac:dyDescent="0.15">
      <c r="B215"/>
      <c r="G215"/>
    </row>
    <row r="216" spans="2:7" ht="24.75" customHeight="1" x14ac:dyDescent="0.15">
      <c r="B216"/>
      <c r="G216"/>
    </row>
    <row r="217" spans="2:7" ht="24.75" customHeight="1" x14ac:dyDescent="0.15">
      <c r="B217"/>
      <c r="G217"/>
    </row>
    <row r="218" spans="2:7" ht="24.75" customHeight="1" x14ac:dyDescent="0.15">
      <c r="B218"/>
      <c r="G218"/>
    </row>
    <row r="219" spans="2:7" ht="24.75" customHeight="1" x14ac:dyDescent="0.15">
      <c r="B219"/>
      <c r="G219"/>
    </row>
    <row r="220" spans="2:7" ht="24.75" customHeight="1" x14ac:dyDescent="0.15">
      <c r="B220"/>
      <c r="G220"/>
    </row>
    <row r="221" spans="2:7" ht="24.75" customHeight="1" x14ac:dyDescent="0.15">
      <c r="B221"/>
      <c r="G221"/>
    </row>
    <row r="222" spans="2:7" ht="24.75" customHeight="1" x14ac:dyDescent="0.15">
      <c r="B222"/>
      <c r="G222"/>
    </row>
    <row r="223" spans="2:7" ht="24.75" customHeight="1" x14ac:dyDescent="0.15">
      <c r="B223"/>
      <c r="G223"/>
    </row>
    <row r="224" spans="2:7" ht="24.75" customHeight="1" x14ac:dyDescent="0.15">
      <c r="B224"/>
      <c r="G224"/>
    </row>
    <row r="225" spans="2:7" ht="24.75" customHeight="1" x14ac:dyDescent="0.15">
      <c r="B225"/>
      <c r="G225"/>
    </row>
    <row r="226" spans="2:7" ht="24.75" customHeight="1" x14ac:dyDescent="0.15">
      <c r="B226"/>
      <c r="G226"/>
    </row>
    <row r="227" spans="2:7" ht="24.75" customHeight="1" x14ac:dyDescent="0.15">
      <c r="B227"/>
      <c r="G227"/>
    </row>
    <row r="228" spans="2:7" ht="24.75" customHeight="1" x14ac:dyDescent="0.15">
      <c r="B228"/>
      <c r="G228"/>
    </row>
    <row r="229" spans="2:7" ht="24.75" customHeight="1" x14ac:dyDescent="0.15">
      <c r="B229"/>
      <c r="G229"/>
    </row>
    <row r="230" spans="2:7" ht="24.75" customHeight="1" x14ac:dyDescent="0.15">
      <c r="B230"/>
      <c r="G230"/>
    </row>
    <row r="231" spans="2:7" ht="24.75" customHeight="1" x14ac:dyDescent="0.15">
      <c r="B231"/>
      <c r="G231"/>
    </row>
    <row r="232" spans="2:7" ht="24.75" customHeight="1" x14ac:dyDescent="0.15">
      <c r="B232"/>
      <c r="G232"/>
    </row>
    <row r="233" spans="2:7" ht="24.75" customHeight="1" x14ac:dyDescent="0.15">
      <c r="B233"/>
      <c r="G233"/>
    </row>
    <row r="234" spans="2:7" ht="24.75" customHeight="1" x14ac:dyDescent="0.15">
      <c r="B234"/>
      <c r="G234"/>
    </row>
    <row r="235" spans="2:7" ht="24.75" customHeight="1" x14ac:dyDescent="0.15">
      <c r="B235"/>
      <c r="G235"/>
    </row>
    <row r="236" spans="2:7" ht="12" customHeight="1" x14ac:dyDescent="0.15">
      <c r="B236"/>
      <c r="G236"/>
    </row>
    <row r="237" spans="2:7" ht="24.75" customHeight="1" x14ac:dyDescent="0.15">
      <c r="B237"/>
      <c r="G237"/>
    </row>
    <row r="238" spans="2:7" ht="24.75" customHeight="1" x14ac:dyDescent="0.15">
      <c r="B238"/>
      <c r="G238"/>
    </row>
    <row r="239" spans="2:7" ht="24.75" customHeight="1" x14ac:dyDescent="0.15">
      <c r="B239"/>
      <c r="G239"/>
    </row>
    <row r="240" spans="2:7" ht="24.75" customHeight="1" x14ac:dyDescent="0.15">
      <c r="B240"/>
      <c r="G240"/>
    </row>
    <row r="241" spans="2:7" ht="24.75" customHeight="1" x14ac:dyDescent="0.15">
      <c r="B241"/>
      <c r="G241"/>
    </row>
    <row r="242" spans="2:7" ht="24.75" customHeight="1" x14ac:dyDescent="0.15">
      <c r="B242"/>
      <c r="G242"/>
    </row>
    <row r="243" spans="2:7" ht="24.75" customHeight="1" x14ac:dyDescent="0.15">
      <c r="B243"/>
      <c r="G243"/>
    </row>
    <row r="244" spans="2:7" ht="24.75" customHeight="1" x14ac:dyDescent="0.15">
      <c r="B244"/>
      <c r="G244"/>
    </row>
    <row r="245" spans="2:7" ht="24.75" customHeight="1" x14ac:dyDescent="0.15">
      <c r="B245"/>
      <c r="G245"/>
    </row>
    <row r="246" spans="2:7" ht="24.75" customHeight="1" x14ac:dyDescent="0.15">
      <c r="B246"/>
      <c r="G246"/>
    </row>
    <row r="247" spans="2:7" ht="24.75" customHeight="1" x14ac:dyDescent="0.15">
      <c r="B247"/>
      <c r="G247"/>
    </row>
    <row r="248" spans="2:7" ht="24.75" customHeight="1" x14ac:dyDescent="0.15">
      <c r="B248"/>
      <c r="G248"/>
    </row>
    <row r="249" spans="2:7" ht="24.75" customHeight="1" x14ac:dyDescent="0.15">
      <c r="B249"/>
      <c r="G249"/>
    </row>
    <row r="250" spans="2:7" ht="24.75" customHeight="1" x14ac:dyDescent="0.15">
      <c r="B250"/>
      <c r="G250"/>
    </row>
    <row r="251" spans="2:7" ht="24.75" customHeight="1" x14ac:dyDescent="0.15">
      <c r="B251"/>
      <c r="G251"/>
    </row>
    <row r="252" spans="2:7" ht="24.75" customHeight="1" x14ac:dyDescent="0.15">
      <c r="B252"/>
      <c r="G252"/>
    </row>
    <row r="253" spans="2:7" ht="24.75" customHeight="1" x14ac:dyDescent="0.15">
      <c r="B253"/>
      <c r="G253"/>
    </row>
    <row r="254" spans="2:7" ht="24.75" customHeight="1" x14ac:dyDescent="0.15">
      <c r="B254"/>
      <c r="G254"/>
    </row>
    <row r="255" spans="2:7" ht="24.75" customHeight="1" x14ac:dyDescent="0.15">
      <c r="B255"/>
      <c r="G255"/>
    </row>
    <row r="256" spans="2:7" ht="24.75" customHeight="1" x14ac:dyDescent="0.15">
      <c r="B256"/>
      <c r="G256"/>
    </row>
    <row r="257" spans="2:7" ht="24.75" customHeight="1" x14ac:dyDescent="0.15">
      <c r="B257"/>
      <c r="G257"/>
    </row>
    <row r="258" spans="2:7" ht="24.75" customHeight="1" x14ac:dyDescent="0.15">
      <c r="B258"/>
      <c r="G258"/>
    </row>
    <row r="259" spans="2:7" ht="24.75" customHeight="1" x14ac:dyDescent="0.15">
      <c r="B259"/>
      <c r="G259"/>
    </row>
    <row r="260" spans="2:7" ht="24.75" customHeight="1" x14ac:dyDescent="0.15">
      <c r="B260"/>
      <c r="G260"/>
    </row>
    <row r="261" spans="2:7" ht="12" customHeight="1" x14ac:dyDescent="0.15">
      <c r="B261"/>
      <c r="G261"/>
    </row>
    <row r="262" spans="2:7" ht="24.75" customHeight="1" x14ac:dyDescent="0.15">
      <c r="B262"/>
      <c r="G262"/>
    </row>
    <row r="263" spans="2:7" ht="24.75" customHeight="1" x14ac:dyDescent="0.15">
      <c r="B263"/>
      <c r="G263"/>
    </row>
    <row r="264" spans="2:7" ht="24.75" customHeight="1" x14ac:dyDescent="0.15">
      <c r="B264"/>
      <c r="G264"/>
    </row>
    <row r="265" spans="2:7" ht="24.75" customHeight="1" x14ac:dyDescent="0.15">
      <c r="B265"/>
      <c r="G265"/>
    </row>
    <row r="266" spans="2:7" ht="24.75" customHeight="1" x14ac:dyDescent="0.15">
      <c r="B266"/>
      <c r="G266"/>
    </row>
    <row r="267" spans="2:7" ht="24.75" customHeight="1" x14ac:dyDescent="0.15">
      <c r="B267"/>
      <c r="G267"/>
    </row>
    <row r="268" spans="2:7" ht="24.75" customHeight="1" x14ac:dyDescent="0.15">
      <c r="B268"/>
      <c r="G268"/>
    </row>
    <row r="269" spans="2:7" ht="24.75" customHeight="1" x14ac:dyDescent="0.15">
      <c r="B269"/>
      <c r="G269"/>
    </row>
    <row r="270" spans="2:7" ht="24.75" customHeight="1" x14ac:dyDescent="0.15">
      <c r="B270"/>
      <c r="G270"/>
    </row>
    <row r="271" spans="2:7" ht="24.75" customHeight="1" x14ac:dyDescent="0.15">
      <c r="B271"/>
      <c r="G271"/>
    </row>
    <row r="272" spans="2:7" ht="24.75" customHeight="1" x14ac:dyDescent="0.15">
      <c r="B272"/>
      <c r="G272"/>
    </row>
    <row r="273" spans="2:7" ht="24.75" customHeight="1" x14ac:dyDescent="0.15">
      <c r="B273"/>
      <c r="G273"/>
    </row>
    <row r="274" spans="2:7" ht="24.75" customHeight="1" x14ac:dyDescent="0.15">
      <c r="B274"/>
      <c r="G274"/>
    </row>
    <row r="275" spans="2:7" ht="24.75" customHeight="1" x14ac:dyDescent="0.15">
      <c r="B275"/>
      <c r="G275"/>
    </row>
    <row r="276" spans="2:7" ht="24.75" customHeight="1" x14ac:dyDescent="0.15">
      <c r="B276"/>
      <c r="G276"/>
    </row>
    <row r="277" spans="2:7" ht="24.75" customHeight="1" x14ac:dyDescent="0.15">
      <c r="B277"/>
      <c r="G277"/>
    </row>
    <row r="278" spans="2:7" ht="24.75" customHeight="1" x14ac:dyDescent="0.15">
      <c r="B278"/>
      <c r="G278"/>
    </row>
    <row r="279" spans="2:7" ht="24.75" customHeight="1" x14ac:dyDescent="0.15">
      <c r="B279"/>
      <c r="G279"/>
    </row>
    <row r="280" spans="2:7" ht="24.75" customHeight="1" x14ac:dyDescent="0.15">
      <c r="B280"/>
      <c r="G280"/>
    </row>
    <row r="281" spans="2:7" ht="24.75" customHeight="1" x14ac:dyDescent="0.15">
      <c r="B281"/>
      <c r="G281"/>
    </row>
    <row r="282" spans="2:7" ht="24.75" customHeight="1" x14ac:dyDescent="0.15">
      <c r="B282"/>
      <c r="G282"/>
    </row>
    <row r="283" spans="2:7" ht="24.75" customHeight="1" x14ac:dyDescent="0.15">
      <c r="B283"/>
      <c r="G283"/>
    </row>
    <row r="284" spans="2:7" ht="24.75" customHeight="1" x14ac:dyDescent="0.15">
      <c r="B284"/>
      <c r="G284"/>
    </row>
    <row r="285" spans="2:7" ht="24.75" customHeight="1" x14ac:dyDescent="0.15">
      <c r="B285"/>
      <c r="G285"/>
    </row>
    <row r="286" spans="2:7" ht="12" customHeight="1" x14ac:dyDescent="0.15">
      <c r="B286"/>
      <c r="G286"/>
    </row>
    <row r="287" spans="2:7" ht="24.75" customHeight="1" x14ac:dyDescent="0.15">
      <c r="B287"/>
      <c r="G287"/>
    </row>
    <row r="288" spans="2:7" ht="24.75" customHeight="1" x14ac:dyDescent="0.15">
      <c r="B288"/>
      <c r="G288"/>
    </row>
    <row r="289" spans="2:7" ht="24.75" customHeight="1" x14ac:dyDescent="0.15">
      <c r="B289"/>
      <c r="G289"/>
    </row>
    <row r="290" spans="2:7" ht="24.75" customHeight="1" x14ac:dyDescent="0.15">
      <c r="B290"/>
      <c r="G290"/>
    </row>
    <row r="291" spans="2:7" ht="24.75" customHeight="1" x14ac:dyDescent="0.15">
      <c r="B291"/>
      <c r="G291"/>
    </row>
    <row r="292" spans="2:7" ht="24.75" customHeight="1" x14ac:dyDescent="0.15">
      <c r="B292"/>
      <c r="G292"/>
    </row>
    <row r="293" spans="2:7" ht="24.75" customHeight="1" x14ac:dyDescent="0.15">
      <c r="B293"/>
      <c r="G293"/>
    </row>
    <row r="294" spans="2:7" ht="24.75" customHeight="1" x14ac:dyDescent="0.15">
      <c r="B294"/>
      <c r="G294"/>
    </row>
    <row r="295" spans="2:7" ht="24.75" customHeight="1" x14ac:dyDescent="0.15">
      <c r="B295"/>
      <c r="G295"/>
    </row>
    <row r="296" spans="2:7" ht="24.75" customHeight="1" x14ac:dyDescent="0.15">
      <c r="B296"/>
      <c r="G296"/>
    </row>
    <row r="297" spans="2:7" ht="24.75" customHeight="1" x14ac:dyDescent="0.15">
      <c r="B297"/>
      <c r="G297"/>
    </row>
    <row r="298" spans="2:7" ht="24.75" customHeight="1" x14ac:dyDescent="0.15">
      <c r="B298"/>
      <c r="G298"/>
    </row>
    <row r="299" spans="2:7" ht="24.75" customHeight="1" x14ac:dyDescent="0.15">
      <c r="B299"/>
      <c r="G299"/>
    </row>
    <row r="300" spans="2:7" ht="24.75" customHeight="1" x14ac:dyDescent="0.15">
      <c r="B300"/>
      <c r="G300"/>
    </row>
    <row r="301" spans="2:7" ht="24.75" customHeight="1" x14ac:dyDescent="0.15">
      <c r="B301"/>
      <c r="G301"/>
    </row>
    <row r="302" spans="2:7" ht="24.75" customHeight="1" x14ac:dyDescent="0.15">
      <c r="B302"/>
      <c r="G302"/>
    </row>
    <row r="303" spans="2:7" ht="24.75" customHeight="1" x14ac:dyDescent="0.15">
      <c r="B303"/>
      <c r="G303"/>
    </row>
    <row r="304" spans="2:7" ht="24.75" customHeight="1" x14ac:dyDescent="0.15">
      <c r="B304"/>
      <c r="G304"/>
    </row>
    <row r="305" spans="2:7" ht="24.75" customHeight="1" x14ac:dyDescent="0.15">
      <c r="B305"/>
      <c r="G305"/>
    </row>
    <row r="306" spans="2:7" ht="24.75" customHeight="1" x14ac:dyDescent="0.15">
      <c r="B306"/>
      <c r="G306"/>
    </row>
    <row r="307" spans="2:7" ht="24.75" customHeight="1" x14ac:dyDescent="0.15">
      <c r="B307"/>
      <c r="G307"/>
    </row>
    <row r="308" spans="2:7" ht="24.75" customHeight="1" x14ac:dyDescent="0.15">
      <c r="B308"/>
      <c r="G308"/>
    </row>
    <row r="309" spans="2:7" ht="24.75" customHeight="1" x14ac:dyDescent="0.15">
      <c r="B309"/>
      <c r="G309"/>
    </row>
    <row r="310" spans="2:7" ht="24.75" customHeight="1" x14ac:dyDescent="0.15">
      <c r="B310"/>
      <c r="G310"/>
    </row>
    <row r="311" spans="2:7" x14ac:dyDescent="0.15">
      <c r="B311"/>
      <c r="G311"/>
    </row>
    <row r="312" spans="2:7" x14ac:dyDescent="0.15">
      <c r="B312"/>
      <c r="G312"/>
    </row>
    <row r="313" spans="2:7" x14ac:dyDescent="0.15">
      <c r="B313"/>
      <c r="G313"/>
    </row>
    <row r="314" spans="2:7" x14ac:dyDescent="0.15">
      <c r="B314"/>
      <c r="G314"/>
    </row>
    <row r="315" spans="2:7" x14ac:dyDescent="0.15">
      <c r="B315"/>
      <c r="G315"/>
    </row>
    <row r="316" spans="2:7" x14ac:dyDescent="0.15">
      <c r="B316"/>
      <c r="G316"/>
    </row>
    <row r="317" spans="2:7" x14ac:dyDescent="0.15">
      <c r="B317"/>
      <c r="G317"/>
    </row>
    <row r="318" spans="2:7" x14ac:dyDescent="0.15">
      <c r="B318"/>
      <c r="G318"/>
    </row>
    <row r="319" spans="2:7" x14ac:dyDescent="0.15">
      <c r="B319"/>
      <c r="G319"/>
    </row>
    <row r="320" spans="2:7" x14ac:dyDescent="0.15">
      <c r="B320"/>
      <c r="G320"/>
    </row>
    <row r="321" spans="2:7" x14ac:dyDescent="0.15">
      <c r="B321"/>
      <c r="G321"/>
    </row>
    <row r="322" spans="2:7" x14ac:dyDescent="0.15">
      <c r="B322"/>
      <c r="G322"/>
    </row>
    <row r="323" spans="2:7" x14ac:dyDescent="0.15">
      <c r="B323"/>
      <c r="G323"/>
    </row>
    <row r="324" spans="2:7" x14ac:dyDescent="0.15">
      <c r="B324"/>
      <c r="G324"/>
    </row>
    <row r="325" spans="2:7" x14ac:dyDescent="0.15">
      <c r="B325"/>
      <c r="G325"/>
    </row>
    <row r="326" spans="2:7" x14ac:dyDescent="0.15">
      <c r="B326"/>
      <c r="G326"/>
    </row>
    <row r="327" spans="2:7" x14ac:dyDescent="0.15">
      <c r="B327"/>
      <c r="G327"/>
    </row>
    <row r="328" spans="2:7" x14ac:dyDescent="0.15">
      <c r="B328"/>
      <c r="G328"/>
    </row>
    <row r="329" spans="2:7" x14ac:dyDescent="0.15">
      <c r="B329"/>
      <c r="G329"/>
    </row>
    <row r="330" spans="2:7" x14ac:dyDescent="0.15">
      <c r="B330"/>
      <c r="G330"/>
    </row>
    <row r="331" spans="2:7" x14ac:dyDescent="0.15">
      <c r="B331"/>
      <c r="G331"/>
    </row>
    <row r="332" spans="2:7" x14ac:dyDescent="0.15">
      <c r="B332"/>
      <c r="G332"/>
    </row>
    <row r="333" spans="2:7" x14ac:dyDescent="0.15">
      <c r="B333"/>
      <c r="G333"/>
    </row>
    <row r="334" spans="2:7" x14ac:dyDescent="0.15">
      <c r="B334"/>
      <c r="G334"/>
    </row>
    <row r="335" spans="2:7" x14ac:dyDescent="0.15">
      <c r="B335"/>
      <c r="G335"/>
    </row>
    <row r="336" spans="2:7" x14ac:dyDescent="0.15">
      <c r="B336"/>
      <c r="G336"/>
    </row>
    <row r="337" spans="2:7" x14ac:dyDescent="0.15">
      <c r="B337"/>
      <c r="G337"/>
    </row>
    <row r="338" spans="2:7" x14ac:dyDescent="0.15">
      <c r="B338"/>
      <c r="G338"/>
    </row>
    <row r="339" spans="2:7" x14ac:dyDescent="0.15">
      <c r="B339"/>
      <c r="G339"/>
    </row>
    <row r="340" spans="2:7" x14ac:dyDescent="0.15">
      <c r="B340"/>
      <c r="G340"/>
    </row>
    <row r="341" spans="2:7" x14ac:dyDescent="0.15">
      <c r="B341"/>
      <c r="G341"/>
    </row>
    <row r="342" spans="2:7" x14ac:dyDescent="0.15">
      <c r="B342"/>
      <c r="G342"/>
    </row>
    <row r="343" spans="2:7" x14ac:dyDescent="0.15">
      <c r="B343"/>
      <c r="G343"/>
    </row>
    <row r="344" spans="2:7" x14ac:dyDescent="0.15">
      <c r="B344"/>
      <c r="G344"/>
    </row>
    <row r="345" spans="2:7" x14ac:dyDescent="0.15">
      <c r="B345"/>
      <c r="G345"/>
    </row>
    <row r="346" spans="2:7" x14ac:dyDescent="0.15">
      <c r="B346"/>
      <c r="G346"/>
    </row>
    <row r="347" spans="2:7" x14ac:dyDescent="0.15">
      <c r="B347"/>
      <c r="G347"/>
    </row>
    <row r="348" spans="2:7" x14ac:dyDescent="0.15">
      <c r="B348"/>
      <c r="G348"/>
    </row>
    <row r="349" spans="2:7" x14ac:dyDescent="0.15">
      <c r="B349"/>
      <c r="G349"/>
    </row>
    <row r="350" spans="2:7" x14ac:dyDescent="0.15">
      <c r="B350"/>
      <c r="G350"/>
    </row>
    <row r="351" spans="2:7" x14ac:dyDescent="0.15">
      <c r="B351"/>
      <c r="G351"/>
    </row>
    <row r="352" spans="2:7" x14ac:dyDescent="0.15">
      <c r="B352"/>
      <c r="G352"/>
    </row>
    <row r="353" spans="2:7" x14ac:dyDescent="0.15">
      <c r="B353"/>
      <c r="G353"/>
    </row>
    <row r="354" spans="2:7" x14ac:dyDescent="0.15">
      <c r="B354"/>
      <c r="G354"/>
    </row>
    <row r="355" spans="2:7" x14ac:dyDescent="0.15">
      <c r="B355"/>
      <c r="G355"/>
    </row>
    <row r="356" spans="2:7" x14ac:dyDescent="0.15">
      <c r="B356"/>
      <c r="G356"/>
    </row>
    <row r="357" spans="2:7" x14ac:dyDescent="0.15">
      <c r="B357"/>
      <c r="G357"/>
    </row>
    <row r="358" spans="2:7" x14ac:dyDescent="0.15">
      <c r="B358"/>
      <c r="G358"/>
    </row>
    <row r="359" spans="2:7" x14ac:dyDescent="0.15">
      <c r="B359"/>
      <c r="G359"/>
    </row>
    <row r="360" spans="2:7" x14ac:dyDescent="0.15">
      <c r="B360"/>
      <c r="G360"/>
    </row>
    <row r="361" spans="2:7" x14ac:dyDescent="0.15">
      <c r="B361"/>
      <c r="G361"/>
    </row>
    <row r="362" spans="2:7" x14ac:dyDescent="0.15">
      <c r="B362"/>
      <c r="G362"/>
    </row>
    <row r="363" spans="2:7" x14ac:dyDescent="0.15">
      <c r="B363"/>
      <c r="G363"/>
    </row>
    <row r="364" spans="2:7" x14ac:dyDescent="0.15">
      <c r="B364"/>
      <c r="G364"/>
    </row>
    <row r="365" spans="2:7" x14ac:dyDescent="0.15">
      <c r="B365"/>
      <c r="G365"/>
    </row>
    <row r="366" spans="2:7" x14ac:dyDescent="0.15">
      <c r="B366"/>
      <c r="G366"/>
    </row>
    <row r="367" spans="2:7" x14ac:dyDescent="0.15">
      <c r="B367"/>
      <c r="G367"/>
    </row>
    <row r="368" spans="2:7" x14ac:dyDescent="0.15">
      <c r="B368"/>
      <c r="G368"/>
    </row>
    <row r="369" spans="2:7" x14ac:dyDescent="0.15">
      <c r="B369"/>
      <c r="G369"/>
    </row>
    <row r="370" spans="2:7" x14ac:dyDescent="0.15">
      <c r="B370"/>
      <c r="G370"/>
    </row>
    <row r="371" spans="2:7" x14ac:dyDescent="0.15">
      <c r="B371"/>
      <c r="G371"/>
    </row>
    <row r="372" spans="2:7" x14ac:dyDescent="0.15">
      <c r="B372"/>
      <c r="G372"/>
    </row>
    <row r="373" spans="2:7" x14ac:dyDescent="0.15">
      <c r="B373"/>
      <c r="G373"/>
    </row>
    <row r="374" spans="2:7" x14ac:dyDescent="0.15">
      <c r="B374"/>
      <c r="G374"/>
    </row>
    <row r="375" spans="2:7" x14ac:dyDescent="0.15">
      <c r="B375"/>
      <c r="G375"/>
    </row>
    <row r="376" spans="2:7" x14ac:dyDescent="0.15">
      <c r="B376"/>
      <c r="G376"/>
    </row>
    <row r="377" spans="2:7" x14ac:dyDescent="0.15">
      <c r="B377"/>
      <c r="G377"/>
    </row>
    <row r="378" spans="2:7" x14ac:dyDescent="0.15">
      <c r="B378"/>
      <c r="G378"/>
    </row>
    <row r="379" spans="2:7" x14ac:dyDescent="0.15">
      <c r="B379"/>
      <c r="G379"/>
    </row>
    <row r="380" spans="2:7" x14ac:dyDescent="0.15">
      <c r="B380"/>
      <c r="G380"/>
    </row>
    <row r="381" spans="2:7" x14ac:dyDescent="0.15">
      <c r="B381"/>
      <c r="G381"/>
    </row>
    <row r="382" spans="2:7" x14ac:dyDescent="0.15">
      <c r="B382"/>
      <c r="G382"/>
    </row>
    <row r="383" spans="2:7" x14ac:dyDescent="0.15">
      <c r="B383"/>
      <c r="G383"/>
    </row>
    <row r="384" spans="2:7" x14ac:dyDescent="0.15">
      <c r="B384"/>
      <c r="G384"/>
    </row>
    <row r="385" spans="2:7" x14ac:dyDescent="0.15">
      <c r="B385"/>
      <c r="G385"/>
    </row>
    <row r="386" spans="2:7" x14ac:dyDescent="0.15">
      <c r="B386"/>
      <c r="G386"/>
    </row>
    <row r="387" spans="2:7" x14ac:dyDescent="0.15">
      <c r="B387"/>
      <c r="G387"/>
    </row>
    <row r="388" spans="2:7" x14ac:dyDescent="0.15">
      <c r="B388"/>
      <c r="G388"/>
    </row>
    <row r="389" spans="2:7" x14ac:dyDescent="0.15">
      <c r="B389"/>
      <c r="G389"/>
    </row>
    <row r="390" spans="2:7" x14ac:dyDescent="0.15">
      <c r="B390"/>
      <c r="G390"/>
    </row>
    <row r="391" spans="2:7" x14ac:dyDescent="0.15">
      <c r="B391"/>
      <c r="G391"/>
    </row>
    <row r="392" spans="2:7" x14ac:dyDescent="0.15">
      <c r="B392"/>
      <c r="G392"/>
    </row>
    <row r="393" spans="2:7" x14ac:dyDescent="0.15">
      <c r="B393"/>
      <c r="G393"/>
    </row>
    <row r="394" spans="2:7" x14ac:dyDescent="0.15">
      <c r="B394"/>
      <c r="G394"/>
    </row>
    <row r="395" spans="2:7" x14ac:dyDescent="0.15">
      <c r="B395"/>
      <c r="G395"/>
    </row>
    <row r="396" spans="2:7" x14ac:dyDescent="0.15">
      <c r="B396"/>
      <c r="G396"/>
    </row>
    <row r="397" spans="2:7" x14ac:dyDescent="0.15">
      <c r="B397"/>
      <c r="G397"/>
    </row>
    <row r="398" spans="2:7" x14ac:dyDescent="0.15">
      <c r="B398"/>
      <c r="G398"/>
    </row>
    <row r="399" spans="2:7" x14ac:dyDescent="0.15">
      <c r="B399"/>
      <c r="G399"/>
    </row>
    <row r="400" spans="2:7" x14ac:dyDescent="0.15">
      <c r="B400"/>
      <c r="G400"/>
    </row>
    <row r="401" spans="2:7" x14ac:dyDescent="0.15">
      <c r="B401"/>
      <c r="G401"/>
    </row>
    <row r="402" spans="2:7" x14ac:dyDescent="0.15">
      <c r="B402"/>
      <c r="G402"/>
    </row>
    <row r="403" spans="2:7" x14ac:dyDescent="0.15">
      <c r="B403"/>
      <c r="G403"/>
    </row>
    <row r="404" spans="2:7" x14ac:dyDescent="0.15">
      <c r="B404"/>
      <c r="G404"/>
    </row>
    <row r="405" spans="2:7" x14ac:dyDescent="0.15">
      <c r="B405"/>
      <c r="G405"/>
    </row>
    <row r="406" spans="2:7" x14ac:dyDescent="0.15">
      <c r="B406"/>
      <c r="G406"/>
    </row>
    <row r="407" spans="2:7" x14ac:dyDescent="0.15">
      <c r="B407"/>
      <c r="G407"/>
    </row>
    <row r="408" spans="2:7" x14ac:dyDescent="0.15">
      <c r="B408"/>
      <c r="G408"/>
    </row>
    <row r="409" spans="2:7" x14ac:dyDescent="0.15">
      <c r="B409"/>
      <c r="G409"/>
    </row>
    <row r="410" spans="2:7" x14ac:dyDescent="0.15">
      <c r="B410"/>
      <c r="G410"/>
    </row>
    <row r="411" spans="2:7" x14ac:dyDescent="0.15">
      <c r="B411"/>
      <c r="G411"/>
    </row>
    <row r="412" spans="2:7" x14ac:dyDescent="0.15">
      <c r="B412"/>
      <c r="G412"/>
    </row>
    <row r="413" spans="2:7" x14ac:dyDescent="0.15">
      <c r="B413"/>
      <c r="G413"/>
    </row>
    <row r="414" spans="2:7" x14ac:dyDescent="0.15">
      <c r="B414"/>
      <c r="G414"/>
    </row>
    <row r="415" spans="2:7" x14ac:dyDescent="0.15">
      <c r="B415"/>
      <c r="G415"/>
    </row>
    <row r="416" spans="2:7" x14ac:dyDescent="0.15">
      <c r="B416"/>
      <c r="G416"/>
    </row>
    <row r="417" spans="2:7" x14ac:dyDescent="0.15">
      <c r="B417"/>
      <c r="G417"/>
    </row>
    <row r="418" spans="2:7" x14ac:dyDescent="0.15">
      <c r="B418"/>
      <c r="G418"/>
    </row>
    <row r="419" spans="2:7" x14ac:dyDescent="0.15">
      <c r="B419"/>
      <c r="G419"/>
    </row>
    <row r="420" spans="2:7" x14ac:dyDescent="0.15">
      <c r="B420"/>
      <c r="G420"/>
    </row>
    <row r="421" spans="2:7" x14ac:dyDescent="0.15">
      <c r="B421"/>
      <c r="G421"/>
    </row>
    <row r="422" spans="2:7" x14ac:dyDescent="0.15">
      <c r="B422"/>
      <c r="G422"/>
    </row>
    <row r="423" spans="2:7" x14ac:dyDescent="0.15">
      <c r="B423"/>
      <c r="G423"/>
    </row>
    <row r="424" spans="2:7" x14ac:dyDescent="0.15">
      <c r="B424"/>
      <c r="G424"/>
    </row>
    <row r="425" spans="2:7" x14ac:dyDescent="0.15">
      <c r="B425"/>
      <c r="G425"/>
    </row>
    <row r="426" spans="2:7" x14ac:dyDescent="0.15">
      <c r="B426"/>
      <c r="G426"/>
    </row>
    <row r="427" spans="2:7" x14ac:dyDescent="0.15">
      <c r="B427"/>
      <c r="G427"/>
    </row>
    <row r="428" spans="2:7" x14ac:dyDescent="0.15">
      <c r="B428"/>
      <c r="G428"/>
    </row>
    <row r="429" spans="2:7" x14ac:dyDescent="0.15">
      <c r="B429"/>
      <c r="G429"/>
    </row>
    <row r="430" spans="2:7" x14ac:dyDescent="0.15">
      <c r="B430"/>
      <c r="G430"/>
    </row>
    <row r="431" spans="2:7" x14ac:dyDescent="0.15">
      <c r="B431"/>
      <c r="G431"/>
    </row>
    <row r="432" spans="2:7" x14ac:dyDescent="0.15">
      <c r="B432"/>
      <c r="G432"/>
    </row>
    <row r="433" spans="2:7" x14ac:dyDescent="0.15">
      <c r="B433"/>
      <c r="G433"/>
    </row>
    <row r="434" spans="2:7" x14ac:dyDescent="0.15">
      <c r="B434"/>
      <c r="G434"/>
    </row>
    <row r="435" spans="2:7" x14ac:dyDescent="0.15">
      <c r="B435"/>
      <c r="G435"/>
    </row>
    <row r="436" spans="2:7" x14ac:dyDescent="0.15">
      <c r="B436"/>
      <c r="G436"/>
    </row>
    <row r="437" spans="2:7" x14ac:dyDescent="0.15">
      <c r="B437"/>
      <c r="G437"/>
    </row>
    <row r="438" spans="2:7" x14ac:dyDescent="0.15">
      <c r="B438"/>
      <c r="G438"/>
    </row>
    <row r="439" spans="2:7" x14ac:dyDescent="0.15">
      <c r="B439"/>
      <c r="G439"/>
    </row>
    <row r="440" spans="2:7" x14ac:dyDescent="0.15">
      <c r="B440"/>
      <c r="G440"/>
    </row>
    <row r="441" spans="2:7" x14ac:dyDescent="0.15">
      <c r="B441"/>
      <c r="G441"/>
    </row>
    <row r="442" spans="2:7" x14ac:dyDescent="0.15">
      <c r="B442"/>
      <c r="G442"/>
    </row>
    <row r="443" spans="2:7" x14ac:dyDescent="0.15">
      <c r="B443"/>
      <c r="G443"/>
    </row>
    <row r="444" spans="2:7" x14ac:dyDescent="0.15">
      <c r="B444"/>
      <c r="G444"/>
    </row>
    <row r="445" spans="2:7" x14ac:dyDescent="0.15">
      <c r="B445"/>
      <c r="G445"/>
    </row>
    <row r="446" spans="2:7" x14ac:dyDescent="0.15">
      <c r="B446"/>
      <c r="G446"/>
    </row>
    <row r="447" spans="2:7" x14ac:dyDescent="0.15">
      <c r="B447"/>
      <c r="G447"/>
    </row>
    <row r="448" spans="2:7" x14ac:dyDescent="0.15">
      <c r="B448"/>
      <c r="G448"/>
    </row>
    <row r="449" spans="2:7" x14ac:dyDescent="0.15">
      <c r="B449"/>
      <c r="G449"/>
    </row>
    <row r="450" spans="2:7" x14ac:dyDescent="0.15">
      <c r="B450"/>
      <c r="G450"/>
    </row>
    <row r="451" spans="2:7" x14ac:dyDescent="0.15">
      <c r="B451"/>
      <c r="G451"/>
    </row>
    <row r="452" spans="2:7" x14ac:dyDescent="0.15">
      <c r="B452"/>
      <c r="G452"/>
    </row>
    <row r="453" spans="2:7" x14ac:dyDescent="0.15">
      <c r="B453"/>
      <c r="G453"/>
    </row>
    <row r="454" spans="2:7" x14ac:dyDescent="0.15">
      <c r="B454"/>
      <c r="G454"/>
    </row>
    <row r="455" spans="2:7" x14ac:dyDescent="0.15">
      <c r="B455"/>
      <c r="G455"/>
    </row>
    <row r="456" spans="2:7" x14ac:dyDescent="0.15">
      <c r="B456"/>
      <c r="G456"/>
    </row>
    <row r="457" spans="2:7" x14ac:dyDescent="0.15">
      <c r="B457"/>
      <c r="G457"/>
    </row>
    <row r="458" spans="2:7" x14ac:dyDescent="0.15">
      <c r="B458"/>
      <c r="G458"/>
    </row>
    <row r="459" spans="2:7" x14ac:dyDescent="0.15">
      <c r="B459"/>
      <c r="G459"/>
    </row>
    <row r="460" spans="2:7" x14ac:dyDescent="0.15">
      <c r="B460"/>
      <c r="G460"/>
    </row>
    <row r="461" spans="2:7" x14ac:dyDescent="0.15">
      <c r="B461"/>
      <c r="G461"/>
    </row>
    <row r="462" spans="2:7" x14ac:dyDescent="0.15">
      <c r="B462"/>
      <c r="G462"/>
    </row>
    <row r="463" spans="2:7" x14ac:dyDescent="0.15">
      <c r="B463"/>
      <c r="G463"/>
    </row>
    <row r="464" spans="2:7" x14ac:dyDescent="0.15">
      <c r="B464"/>
      <c r="G464"/>
    </row>
    <row r="465" spans="2:7" x14ac:dyDescent="0.15">
      <c r="B465"/>
      <c r="G465"/>
    </row>
    <row r="466" spans="2:7" x14ac:dyDescent="0.15">
      <c r="B466"/>
      <c r="G466"/>
    </row>
    <row r="467" spans="2:7" x14ac:dyDescent="0.15">
      <c r="B467"/>
      <c r="G467"/>
    </row>
    <row r="468" spans="2:7" x14ac:dyDescent="0.15">
      <c r="B468"/>
      <c r="G468"/>
    </row>
    <row r="469" spans="2:7" x14ac:dyDescent="0.15">
      <c r="B469"/>
      <c r="G469"/>
    </row>
    <row r="470" spans="2:7" x14ac:dyDescent="0.15">
      <c r="B470"/>
      <c r="G470"/>
    </row>
    <row r="471" spans="2:7" x14ac:dyDescent="0.15">
      <c r="B471"/>
      <c r="G471"/>
    </row>
    <row r="472" spans="2:7" x14ac:dyDescent="0.15">
      <c r="B472"/>
      <c r="G472"/>
    </row>
    <row r="473" spans="2:7" x14ac:dyDescent="0.15">
      <c r="B473"/>
      <c r="G473"/>
    </row>
    <row r="474" spans="2:7" x14ac:dyDescent="0.15">
      <c r="B474"/>
      <c r="G474"/>
    </row>
    <row r="475" spans="2:7" x14ac:dyDescent="0.15">
      <c r="B475"/>
      <c r="G475"/>
    </row>
    <row r="476" spans="2:7" x14ac:dyDescent="0.15">
      <c r="B476"/>
      <c r="G476"/>
    </row>
    <row r="477" spans="2:7" x14ac:dyDescent="0.15">
      <c r="B477"/>
      <c r="G477"/>
    </row>
    <row r="478" spans="2:7" x14ac:dyDescent="0.15">
      <c r="B478"/>
      <c r="G478"/>
    </row>
    <row r="479" spans="2:7" x14ac:dyDescent="0.15">
      <c r="B479"/>
      <c r="G479"/>
    </row>
    <row r="480" spans="2:7" x14ac:dyDescent="0.15">
      <c r="B480"/>
      <c r="G480"/>
    </row>
    <row r="481" spans="2:7" x14ac:dyDescent="0.15">
      <c r="B481"/>
      <c r="G481"/>
    </row>
    <row r="482" spans="2:7" x14ac:dyDescent="0.15">
      <c r="B482"/>
      <c r="G482"/>
    </row>
    <row r="483" spans="2:7" x14ac:dyDescent="0.15">
      <c r="B483"/>
      <c r="G483"/>
    </row>
    <row r="484" spans="2:7" x14ac:dyDescent="0.15">
      <c r="B484"/>
      <c r="G484"/>
    </row>
    <row r="485" spans="2:7" x14ac:dyDescent="0.15">
      <c r="B485"/>
      <c r="G485"/>
    </row>
    <row r="486" spans="2:7" x14ac:dyDescent="0.15">
      <c r="B486"/>
      <c r="G486"/>
    </row>
    <row r="487" spans="2:7" x14ac:dyDescent="0.15">
      <c r="B487"/>
      <c r="G487"/>
    </row>
    <row r="488" spans="2:7" x14ac:dyDescent="0.15">
      <c r="B488"/>
      <c r="G488"/>
    </row>
    <row r="489" spans="2:7" x14ac:dyDescent="0.15">
      <c r="B489"/>
      <c r="G489"/>
    </row>
    <row r="490" spans="2:7" x14ac:dyDescent="0.15">
      <c r="B490"/>
      <c r="G490"/>
    </row>
    <row r="491" spans="2:7" x14ac:dyDescent="0.15">
      <c r="B491"/>
      <c r="G491"/>
    </row>
    <row r="492" spans="2:7" x14ac:dyDescent="0.15">
      <c r="B492"/>
      <c r="G492"/>
    </row>
    <row r="493" spans="2:7" x14ac:dyDescent="0.15">
      <c r="B493"/>
      <c r="G493"/>
    </row>
    <row r="494" spans="2:7" x14ac:dyDescent="0.15">
      <c r="B494"/>
      <c r="G494"/>
    </row>
    <row r="495" spans="2:7" x14ac:dyDescent="0.15">
      <c r="B495"/>
      <c r="G495"/>
    </row>
    <row r="496" spans="2:7" x14ac:dyDescent="0.15">
      <c r="B496"/>
      <c r="G496"/>
    </row>
    <row r="497" spans="2:7" x14ac:dyDescent="0.15">
      <c r="B497"/>
      <c r="G497"/>
    </row>
    <row r="498" spans="2:7" x14ac:dyDescent="0.15">
      <c r="B498"/>
      <c r="G498"/>
    </row>
    <row r="499" spans="2:7" x14ac:dyDescent="0.15">
      <c r="B499"/>
      <c r="G499"/>
    </row>
    <row r="500" spans="2:7" x14ac:dyDescent="0.15">
      <c r="B500"/>
      <c r="G500"/>
    </row>
    <row r="501" spans="2:7" x14ac:dyDescent="0.15">
      <c r="B501"/>
      <c r="G501"/>
    </row>
    <row r="502" spans="2:7" x14ac:dyDescent="0.15">
      <c r="B502"/>
      <c r="G502"/>
    </row>
    <row r="503" spans="2:7" x14ac:dyDescent="0.15">
      <c r="B503"/>
      <c r="G503"/>
    </row>
    <row r="504" spans="2:7" x14ac:dyDescent="0.15">
      <c r="B504"/>
      <c r="G504"/>
    </row>
    <row r="505" spans="2:7" x14ac:dyDescent="0.15">
      <c r="B505"/>
      <c r="G505"/>
    </row>
    <row r="506" spans="2:7" x14ac:dyDescent="0.15">
      <c r="B506"/>
      <c r="G506"/>
    </row>
    <row r="507" spans="2:7" x14ac:dyDescent="0.15">
      <c r="B507"/>
      <c r="G507"/>
    </row>
    <row r="508" spans="2:7" x14ac:dyDescent="0.15">
      <c r="B508"/>
      <c r="G508"/>
    </row>
    <row r="509" spans="2:7" x14ac:dyDescent="0.15">
      <c r="B509"/>
      <c r="G509"/>
    </row>
    <row r="510" spans="2:7" x14ac:dyDescent="0.15">
      <c r="B510"/>
      <c r="G510"/>
    </row>
    <row r="511" spans="2:7" x14ac:dyDescent="0.15">
      <c r="B511"/>
      <c r="G511"/>
    </row>
    <row r="512" spans="2:7" x14ac:dyDescent="0.15">
      <c r="B512"/>
      <c r="G512"/>
    </row>
    <row r="513" spans="2:7" x14ac:dyDescent="0.15">
      <c r="B513"/>
      <c r="G513"/>
    </row>
    <row r="514" spans="2:7" x14ac:dyDescent="0.15">
      <c r="B514"/>
      <c r="G514"/>
    </row>
    <row r="515" spans="2:7" x14ac:dyDescent="0.15">
      <c r="B515"/>
      <c r="G515"/>
    </row>
    <row r="516" spans="2:7" x14ac:dyDescent="0.15">
      <c r="B516"/>
      <c r="G516"/>
    </row>
    <row r="517" spans="2:7" x14ac:dyDescent="0.15">
      <c r="B517"/>
      <c r="G517"/>
    </row>
    <row r="518" spans="2:7" x14ac:dyDescent="0.15">
      <c r="B518"/>
      <c r="G518"/>
    </row>
    <row r="519" spans="2:7" x14ac:dyDescent="0.15">
      <c r="B519"/>
      <c r="G519"/>
    </row>
    <row r="520" spans="2:7" x14ac:dyDescent="0.15">
      <c r="B520"/>
      <c r="G520"/>
    </row>
    <row r="521" spans="2:7" x14ac:dyDescent="0.15">
      <c r="B521"/>
      <c r="G521"/>
    </row>
    <row r="522" spans="2:7" x14ac:dyDescent="0.15">
      <c r="B522"/>
      <c r="G522"/>
    </row>
    <row r="523" spans="2:7" x14ac:dyDescent="0.15">
      <c r="B523"/>
      <c r="G523"/>
    </row>
    <row r="524" spans="2:7" x14ac:dyDescent="0.15">
      <c r="B524"/>
      <c r="G524"/>
    </row>
    <row r="525" spans="2:7" x14ac:dyDescent="0.15">
      <c r="B525"/>
      <c r="G525"/>
    </row>
    <row r="526" spans="2:7" x14ac:dyDescent="0.15">
      <c r="B526"/>
      <c r="G526"/>
    </row>
    <row r="527" spans="2:7" x14ac:dyDescent="0.15">
      <c r="B527"/>
      <c r="G527"/>
    </row>
    <row r="528" spans="2:7" x14ac:dyDescent="0.15">
      <c r="B528"/>
      <c r="G528"/>
    </row>
    <row r="529" spans="2:7" x14ac:dyDescent="0.15">
      <c r="B529"/>
      <c r="G529"/>
    </row>
    <row r="530" spans="2:7" x14ac:dyDescent="0.15">
      <c r="B530"/>
      <c r="G530"/>
    </row>
    <row r="531" spans="2:7" x14ac:dyDescent="0.15">
      <c r="B531"/>
      <c r="G531"/>
    </row>
    <row r="532" spans="2:7" x14ac:dyDescent="0.15">
      <c r="B532"/>
      <c r="G532"/>
    </row>
    <row r="533" spans="2:7" x14ac:dyDescent="0.15">
      <c r="B533"/>
      <c r="G533"/>
    </row>
    <row r="534" spans="2:7" x14ac:dyDescent="0.15">
      <c r="B534"/>
      <c r="G534"/>
    </row>
    <row r="535" spans="2:7" x14ac:dyDescent="0.15">
      <c r="B535"/>
      <c r="G535"/>
    </row>
    <row r="536" spans="2:7" x14ac:dyDescent="0.15">
      <c r="B536"/>
      <c r="G536"/>
    </row>
    <row r="537" spans="2:7" x14ac:dyDescent="0.15">
      <c r="B537"/>
      <c r="G537"/>
    </row>
    <row r="538" spans="2:7" x14ac:dyDescent="0.15">
      <c r="B538"/>
      <c r="G538"/>
    </row>
    <row r="539" spans="2:7" x14ac:dyDescent="0.15">
      <c r="B539"/>
      <c r="G539"/>
    </row>
    <row r="540" spans="2:7" x14ac:dyDescent="0.15">
      <c r="B540"/>
      <c r="G540"/>
    </row>
    <row r="541" spans="2:7" x14ac:dyDescent="0.15">
      <c r="B541"/>
      <c r="G541"/>
    </row>
    <row r="542" spans="2:7" x14ac:dyDescent="0.15">
      <c r="B542"/>
      <c r="G542"/>
    </row>
    <row r="543" spans="2:7" x14ac:dyDescent="0.15">
      <c r="B543"/>
      <c r="G543"/>
    </row>
    <row r="544" spans="2:7" x14ac:dyDescent="0.15">
      <c r="B544"/>
      <c r="G544"/>
    </row>
    <row r="545" spans="2:7" x14ac:dyDescent="0.15">
      <c r="B545"/>
      <c r="G545"/>
    </row>
    <row r="546" spans="2:7" x14ac:dyDescent="0.15">
      <c r="B546"/>
      <c r="G546"/>
    </row>
    <row r="547" spans="2:7" x14ac:dyDescent="0.15">
      <c r="B547"/>
      <c r="G547"/>
    </row>
    <row r="548" spans="2:7" x14ac:dyDescent="0.15">
      <c r="B548"/>
      <c r="G548"/>
    </row>
    <row r="549" spans="2:7" x14ac:dyDescent="0.15">
      <c r="B549"/>
      <c r="G549"/>
    </row>
    <row r="550" spans="2:7" x14ac:dyDescent="0.15">
      <c r="B550"/>
      <c r="G550"/>
    </row>
    <row r="551" spans="2:7" x14ac:dyDescent="0.15">
      <c r="B551"/>
      <c r="G551"/>
    </row>
    <row r="552" spans="2:7" x14ac:dyDescent="0.15">
      <c r="B552"/>
      <c r="G552"/>
    </row>
    <row r="553" spans="2:7" x14ac:dyDescent="0.15">
      <c r="B553"/>
      <c r="G553"/>
    </row>
    <row r="554" spans="2:7" x14ac:dyDescent="0.15">
      <c r="B554"/>
      <c r="G554"/>
    </row>
    <row r="555" spans="2:7" x14ac:dyDescent="0.15">
      <c r="B555"/>
      <c r="G555"/>
    </row>
    <row r="556" spans="2:7" x14ac:dyDescent="0.15">
      <c r="B556"/>
      <c r="G556"/>
    </row>
    <row r="557" spans="2:7" x14ac:dyDescent="0.15">
      <c r="B557"/>
      <c r="G557"/>
    </row>
    <row r="558" spans="2:7" x14ac:dyDescent="0.15">
      <c r="B558"/>
      <c r="G558"/>
    </row>
    <row r="559" spans="2:7" x14ac:dyDescent="0.15">
      <c r="B559"/>
      <c r="G559"/>
    </row>
    <row r="560" spans="2:7" x14ac:dyDescent="0.15">
      <c r="B560"/>
      <c r="G560"/>
    </row>
    <row r="561" spans="2:7" x14ac:dyDescent="0.15">
      <c r="B561"/>
      <c r="G561"/>
    </row>
    <row r="562" spans="2:7" x14ac:dyDescent="0.15">
      <c r="B562"/>
      <c r="G562"/>
    </row>
  </sheetData>
  <mergeCells count="23">
    <mergeCell ref="A6:K6"/>
    <mergeCell ref="I7:J7"/>
    <mergeCell ref="I21:J21"/>
    <mergeCell ref="I23:J23"/>
    <mergeCell ref="B7:C8"/>
    <mergeCell ref="D7:D8"/>
    <mergeCell ref="C15:E16"/>
    <mergeCell ref="I22:J22"/>
    <mergeCell ref="B15:B16"/>
    <mergeCell ref="C17:E17"/>
    <mergeCell ref="C18:E18"/>
    <mergeCell ref="C12:E12"/>
    <mergeCell ref="F33:H33"/>
    <mergeCell ref="I33:J33"/>
    <mergeCell ref="I32:J32"/>
    <mergeCell ref="I27:J27"/>
    <mergeCell ref="I29:J29"/>
    <mergeCell ref="I31:J31"/>
    <mergeCell ref="I25:J25"/>
    <mergeCell ref="I24:J24"/>
    <mergeCell ref="I26:J26"/>
    <mergeCell ref="I30:J30"/>
    <mergeCell ref="I28:J28"/>
  </mergeCells>
  <phoneticPr fontId="8"/>
  <conditionalFormatting sqref="I7:J7">
    <cfRule type="cellIs" dxfId="0" priority="1" operator="between">
      <formula>43586</formula>
      <formula>43830</formula>
    </cfRule>
  </conditionalFormatting>
  <dataValidations count="1">
    <dataValidation type="list" allowBlank="1" showInputMessage="1" showErrorMessage="1" sqref="B7" xr:uid="{C68841CF-99AC-4980-B3E2-DF3884FF3917}">
      <formula1>"㈱古田衣料品店,㈱翔洋,㈱増工務店,㈱アプリア,(有)アットステージ,㈱ライフデザイン ,(有)鈴木建業,㈱ストラクス,㈱ウエハラ,樋田建設工業㈱,田中丸重建設㈱,藤田策太郎建設㈱,杉山建設工業㈱,(有)ひろまる幸夢展,㈱東急ホームズ,(有)渡部工務店,㈱モローズ,㈱アイディーエス企画,大正建設㈱,㈱アカイ,インテリア渡辺,㈱コンコード"</formula1>
    </dataValidation>
  </dataValidations>
  <hyperlinks>
    <hyperlink ref="I7" location="_msocom_1" display="_msocom_1" xr:uid="{3F160437-DDB6-4066-998F-78F22875FD9E}"/>
  </hyperlinks>
  <pageMargins left="0.91" right="0" top="0.39" bottom="0.2" header="0.37" footer="0.2"/>
  <pageSetup paperSize="9" scale="95" orientation="landscape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4F95723-DC3B-4854-9C61-2E455387F1A9}">
          <x14:formula1>
            <xm:f>マスタ!$D$4:$D$25</xm:f>
          </x14:formula1>
          <xm:sqref>C22:C32</xm:sqref>
        </x14:dataValidation>
        <x14:dataValidation type="list" allowBlank="1" showInputMessage="1" showErrorMessage="1" xr:uid="{8E38AA0E-5559-4F55-ABE1-151E4537F9CA}">
          <x14:formula1>
            <xm:f>マスタ!$B$4:$B$30</xm:f>
          </x14:formula1>
          <xm:sqref>G22:G32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C76BB-A084-40CC-9A11-A6C3961FD39E}">
  <dimension ref="A1:K150"/>
  <sheetViews>
    <sheetView view="pageBreakPreview" zoomScaleNormal="100" zoomScaleSheetLayoutView="100" workbookViewId="0">
      <selection activeCell="F72" sqref="F72"/>
    </sheetView>
  </sheetViews>
  <sheetFormatPr defaultRowHeight="13.5" x14ac:dyDescent="0.15"/>
  <cols>
    <col min="1" max="1" width="4.125" customWidth="1"/>
    <col min="2" max="2" width="24.625" customWidth="1"/>
    <col min="3" max="3" width="8.625" customWidth="1"/>
    <col min="4" max="4" width="10.625" customWidth="1"/>
    <col min="5" max="5" width="24.625" customWidth="1"/>
    <col min="6" max="6" width="9.625" customWidth="1"/>
    <col min="7" max="7" width="7.625" customWidth="1"/>
    <col min="8" max="8" width="12.625" customWidth="1"/>
    <col min="9" max="10" width="11.625" customWidth="1"/>
    <col min="11" max="11" width="15.625" customWidth="1"/>
  </cols>
  <sheetData>
    <row r="1" spans="1:11" ht="30" customHeight="1" thickBot="1" x14ac:dyDescent="0.2">
      <c r="A1" s="141" t="s">
        <v>15</v>
      </c>
      <c r="B1" s="141"/>
      <c r="C1" s="142">
        <f>表紙!C15</f>
        <v>0</v>
      </c>
      <c r="D1" s="142"/>
      <c r="E1" s="142"/>
      <c r="F1" s="143" t="s">
        <v>16</v>
      </c>
      <c r="G1" s="143"/>
      <c r="H1" s="143"/>
      <c r="I1" s="143"/>
      <c r="J1" s="144" t="s">
        <v>75</v>
      </c>
      <c r="K1" s="144"/>
    </row>
    <row r="2" spans="1:11" ht="24.95" customHeight="1" thickTop="1" thickBot="1" x14ac:dyDescent="0.2">
      <c r="A2" s="73"/>
      <c r="B2" s="152" t="s">
        <v>7</v>
      </c>
      <c r="C2" s="151"/>
      <c r="D2" s="150" t="s">
        <v>8</v>
      </c>
      <c r="E2" s="151"/>
      <c r="F2" s="78" t="s">
        <v>81</v>
      </c>
      <c r="G2" s="78" t="s">
        <v>9</v>
      </c>
      <c r="H2" s="78" t="s">
        <v>88</v>
      </c>
      <c r="I2" s="145" t="s">
        <v>10</v>
      </c>
      <c r="J2" s="146"/>
      <c r="K2" s="78" t="s">
        <v>11</v>
      </c>
    </row>
    <row r="3" spans="1:11" ht="24.95" customHeight="1" thickTop="1" x14ac:dyDescent="0.15">
      <c r="A3" s="100"/>
      <c r="B3" s="93"/>
      <c r="C3" s="94"/>
      <c r="D3" s="96"/>
      <c r="E3" s="83"/>
      <c r="F3" s="104"/>
      <c r="G3" s="34"/>
      <c r="H3" s="102"/>
      <c r="I3" s="149">
        <f>SUM(F3*H3)</f>
        <v>0</v>
      </c>
      <c r="J3" s="148"/>
      <c r="K3" s="80"/>
    </row>
    <row r="4" spans="1:11" ht="24.95" customHeight="1" x14ac:dyDescent="0.15">
      <c r="A4" s="81"/>
      <c r="B4" s="82"/>
      <c r="C4" s="95"/>
      <c r="D4" s="97"/>
      <c r="E4" s="83"/>
      <c r="F4" s="104"/>
      <c r="G4" s="34"/>
      <c r="H4" s="102"/>
      <c r="I4" s="149">
        <f>SUM(F4*H4)</f>
        <v>0</v>
      </c>
      <c r="J4" s="148"/>
      <c r="K4" s="80"/>
    </row>
    <row r="5" spans="1:11" ht="24.95" customHeight="1" x14ac:dyDescent="0.15">
      <c r="A5" s="81"/>
      <c r="B5" s="10"/>
      <c r="C5" s="95"/>
      <c r="D5" s="97"/>
      <c r="E5" s="83"/>
      <c r="F5" s="104"/>
      <c r="G5" s="34"/>
      <c r="H5" s="102"/>
      <c r="I5" s="149">
        <f t="shared" ref="I5:I24" si="0">SUM(F5*H5)</f>
        <v>0</v>
      </c>
      <c r="J5" s="148"/>
      <c r="K5" s="80"/>
    </row>
    <row r="6" spans="1:11" ht="24.95" customHeight="1" x14ac:dyDescent="0.15">
      <c r="A6" s="81"/>
      <c r="B6" s="82"/>
      <c r="C6" s="95"/>
      <c r="D6" s="97"/>
      <c r="E6" s="83"/>
      <c r="F6" s="104"/>
      <c r="G6" s="34"/>
      <c r="H6" s="102"/>
      <c r="I6" s="149">
        <f t="shared" si="0"/>
        <v>0</v>
      </c>
      <c r="J6" s="148"/>
      <c r="K6" s="80"/>
    </row>
    <row r="7" spans="1:11" ht="24.95" customHeight="1" x14ac:dyDescent="0.15">
      <c r="A7" s="81"/>
      <c r="B7" s="82"/>
      <c r="C7" s="95"/>
      <c r="D7" s="97"/>
      <c r="E7" s="83"/>
      <c r="F7" s="104"/>
      <c r="G7" s="34"/>
      <c r="H7" s="102"/>
      <c r="I7" s="149">
        <f t="shared" si="0"/>
        <v>0</v>
      </c>
      <c r="J7" s="148"/>
      <c r="K7" s="80"/>
    </row>
    <row r="8" spans="1:11" ht="24.95" customHeight="1" x14ac:dyDescent="0.15">
      <c r="A8" s="81"/>
      <c r="B8" s="82"/>
      <c r="C8" s="95"/>
      <c r="D8" s="97"/>
      <c r="E8" s="83"/>
      <c r="F8" s="104"/>
      <c r="G8" s="34"/>
      <c r="H8" s="102"/>
      <c r="I8" s="149">
        <f t="shared" si="0"/>
        <v>0</v>
      </c>
      <c r="J8" s="148"/>
      <c r="K8" s="80"/>
    </row>
    <row r="9" spans="1:11" ht="24.95" customHeight="1" x14ac:dyDescent="0.15">
      <c r="A9" s="81"/>
      <c r="B9" s="82"/>
      <c r="C9" s="95"/>
      <c r="D9" s="97"/>
      <c r="E9" s="83"/>
      <c r="F9" s="104"/>
      <c r="G9" s="34"/>
      <c r="H9" s="102"/>
      <c r="I9" s="149">
        <f t="shared" si="0"/>
        <v>0</v>
      </c>
      <c r="J9" s="148"/>
      <c r="K9" s="80"/>
    </row>
    <row r="10" spans="1:11" ht="24.95" customHeight="1" x14ac:dyDescent="0.15">
      <c r="A10" s="81"/>
      <c r="B10" s="82"/>
      <c r="C10" s="95"/>
      <c r="D10" s="97"/>
      <c r="E10" s="83"/>
      <c r="F10" s="104"/>
      <c r="G10" s="34"/>
      <c r="H10" s="102"/>
      <c r="I10" s="149">
        <f t="shared" si="0"/>
        <v>0</v>
      </c>
      <c r="J10" s="148"/>
      <c r="K10" s="80"/>
    </row>
    <row r="11" spans="1:11" ht="24.95" customHeight="1" x14ac:dyDescent="0.15">
      <c r="A11" s="81"/>
      <c r="B11" s="82"/>
      <c r="C11" s="95"/>
      <c r="D11" s="97"/>
      <c r="E11" s="83"/>
      <c r="F11" s="104"/>
      <c r="G11" s="34"/>
      <c r="H11" s="102"/>
      <c r="I11" s="149">
        <f t="shared" si="0"/>
        <v>0</v>
      </c>
      <c r="J11" s="148"/>
      <c r="K11" s="80"/>
    </row>
    <row r="12" spans="1:11" ht="24.95" customHeight="1" x14ac:dyDescent="0.15">
      <c r="A12" s="81"/>
      <c r="B12" s="82"/>
      <c r="C12" s="95"/>
      <c r="D12" s="97"/>
      <c r="E12" s="83"/>
      <c r="F12" s="104"/>
      <c r="G12" s="34"/>
      <c r="H12" s="102"/>
      <c r="I12" s="149">
        <f t="shared" si="0"/>
        <v>0</v>
      </c>
      <c r="J12" s="148"/>
      <c r="K12" s="80"/>
    </row>
    <row r="13" spans="1:11" ht="24.95" customHeight="1" x14ac:dyDescent="0.15">
      <c r="A13" s="81"/>
      <c r="B13" s="82"/>
      <c r="C13" s="95"/>
      <c r="D13" s="97"/>
      <c r="E13" s="83"/>
      <c r="F13" s="104"/>
      <c r="G13" s="34"/>
      <c r="H13" s="102"/>
      <c r="I13" s="149">
        <f t="shared" si="0"/>
        <v>0</v>
      </c>
      <c r="J13" s="148"/>
      <c r="K13" s="80"/>
    </row>
    <row r="14" spans="1:11" ht="24.95" customHeight="1" x14ac:dyDescent="0.15">
      <c r="A14" s="81"/>
      <c r="B14" s="82"/>
      <c r="C14" s="95"/>
      <c r="D14" s="97"/>
      <c r="E14" s="83"/>
      <c r="F14" s="104"/>
      <c r="G14" s="34"/>
      <c r="H14" s="102"/>
      <c r="I14" s="149">
        <f t="shared" si="0"/>
        <v>0</v>
      </c>
      <c r="J14" s="148"/>
      <c r="K14" s="80"/>
    </row>
    <row r="15" spans="1:11" ht="24.95" customHeight="1" x14ac:dyDescent="0.15">
      <c r="A15" s="81"/>
      <c r="B15" s="82"/>
      <c r="C15" s="95"/>
      <c r="D15" s="97"/>
      <c r="E15" s="83"/>
      <c r="F15" s="104"/>
      <c r="G15" s="34"/>
      <c r="H15" s="103"/>
      <c r="I15" s="147">
        <f t="shared" si="0"/>
        <v>0</v>
      </c>
      <c r="J15" s="148"/>
      <c r="K15" s="80"/>
    </row>
    <row r="16" spans="1:11" ht="24.95" customHeight="1" x14ac:dyDescent="0.15">
      <c r="A16" s="81"/>
      <c r="B16" s="82"/>
      <c r="C16" s="95"/>
      <c r="D16" s="97"/>
      <c r="E16" s="83"/>
      <c r="F16" s="104"/>
      <c r="G16" s="34"/>
      <c r="H16" s="103"/>
      <c r="I16" s="147">
        <f t="shared" si="0"/>
        <v>0</v>
      </c>
      <c r="J16" s="148"/>
      <c r="K16" s="80"/>
    </row>
    <row r="17" spans="1:11" ht="24.95" customHeight="1" x14ac:dyDescent="0.15">
      <c r="A17" s="81"/>
      <c r="B17" s="82"/>
      <c r="C17" s="95"/>
      <c r="D17" s="97"/>
      <c r="E17" s="83"/>
      <c r="F17" s="104"/>
      <c r="G17" s="34"/>
      <c r="H17" s="103"/>
      <c r="I17" s="147">
        <f t="shared" si="0"/>
        <v>0</v>
      </c>
      <c r="J17" s="148"/>
      <c r="K17" s="80"/>
    </row>
    <row r="18" spans="1:11" ht="24.95" customHeight="1" x14ac:dyDescent="0.15">
      <c r="A18" s="81"/>
      <c r="B18" s="82"/>
      <c r="C18" s="95"/>
      <c r="D18" s="97"/>
      <c r="E18" s="83"/>
      <c r="F18" s="104"/>
      <c r="G18" s="34"/>
      <c r="H18" s="102"/>
      <c r="I18" s="149">
        <f t="shared" si="0"/>
        <v>0</v>
      </c>
      <c r="J18" s="148"/>
      <c r="K18" s="80"/>
    </row>
    <row r="19" spans="1:11" ht="24.95" customHeight="1" x14ac:dyDescent="0.15">
      <c r="A19" s="81"/>
      <c r="B19" s="82"/>
      <c r="C19" s="95"/>
      <c r="D19" s="97"/>
      <c r="E19" s="83"/>
      <c r="F19" s="104"/>
      <c r="G19" s="34"/>
      <c r="H19" s="102"/>
      <c r="I19" s="149">
        <f t="shared" si="0"/>
        <v>0</v>
      </c>
      <c r="J19" s="148"/>
      <c r="K19" s="80"/>
    </row>
    <row r="20" spans="1:11" ht="24.95" customHeight="1" x14ac:dyDescent="0.15">
      <c r="A20" s="81"/>
      <c r="B20" s="82"/>
      <c r="C20" s="95"/>
      <c r="D20" s="97"/>
      <c r="E20" s="83"/>
      <c r="F20" s="104"/>
      <c r="G20" s="34"/>
      <c r="H20" s="102"/>
      <c r="I20" s="149">
        <f t="shared" si="0"/>
        <v>0</v>
      </c>
      <c r="J20" s="148"/>
      <c r="K20" s="80"/>
    </row>
    <row r="21" spans="1:11" ht="24.95" customHeight="1" x14ac:dyDescent="0.15">
      <c r="A21" s="81"/>
      <c r="B21" s="82"/>
      <c r="C21" s="95"/>
      <c r="D21" s="97"/>
      <c r="E21" s="83"/>
      <c r="F21" s="104"/>
      <c r="G21" s="34"/>
      <c r="H21" s="102"/>
      <c r="I21" s="149">
        <f t="shared" si="0"/>
        <v>0</v>
      </c>
      <c r="J21" s="148"/>
      <c r="K21" s="80"/>
    </row>
    <row r="22" spans="1:11" ht="24.95" customHeight="1" x14ac:dyDescent="0.15">
      <c r="A22" s="81"/>
      <c r="B22" s="82"/>
      <c r="C22" s="95"/>
      <c r="D22" s="97"/>
      <c r="E22" s="83"/>
      <c r="F22" s="104"/>
      <c r="G22" s="34"/>
      <c r="H22" s="102"/>
      <c r="I22" s="149">
        <f t="shared" si="0"/>
        <v>0</v>
      </c>
      <c r="J22" s="148"/>
      <c r="K22" s="80"/>
    </row>
    <row r="23" spans="1:11" ht="24.95" customHeight="1" x14ac:dyDescent="0.15">
      <c r="A23" s="81"/>
      <c r="B23" s="82"/>
      <c r="C23" s="95"/>
      <c r="D23" s="97"/>
      <c r="E23" s="98"/>
      <c r="F23" s="104"/>
      <c r="G23" s="34"/>
      <c r="H23" s="102"/>
      <c r="I23" s="149">
        <f t="shared" si="0"/>
        <v>0</v>
      </c>
      <c r="J23" s="148"/>
      <c r="K23" s="80"/>
    </row>
    <row r="24" spans="1:11" ht="24.95" customHeight="1" x14ac:dyDescent="0.15">
      <c r="A24" s="81"/>
      <c r="B24" s="82"/>
      <c r="C24" s="95"/>
      <c r="D24" s="97"/>
      <c r="E24" s="83"/>
      <c r="F24" s="104"/>
      <c r="G24" s="34"/>
      <c r="H24" s="102"/>
      <c r="I24" s="149">
        <f t="shared" si="0"/>
        <v>0</v>
      </c>
      <c r="J24" s="148"/>
      <c r="K24" s="80"/>
    </row>
    <row r="25" spans="1:11" ht="24.95" customHeight="1" x14ac:dyDescent="0.15">
      <c r="A25" s="101"/>
      <c r="B25" s="84"/>
      <c r="C25" s="79" t="s">
        <v>17</v>
      </c>
      <c r="D25" s="84"/>
      <c r="E25" s="99"/>
      <c r="F25" s="105"/>
      <c r="G25" s="6"/>
      <c r="H25" s="102"/>
      <c r="I25" s="149">
        <f>SUM(I2:J24)</f>
        <v>0</v>
      </c>
      <c r="J25" s="148"/>
      <c r="K25" s="85"/>
    </row>
    <row r="26" spans="1:11" ht="30" customHeight="1" thickBot="1" x14ac:dyDescent="0.2">
      <c r="A26" s="141" t="s">
        <v>15</v>
      </c>
      <c r="B26" s="141"/>
      <c r="C26" s="142">
        <f>表紙!C40</f>
        <v>0</v>
      </c>
      <c r="D26" s="142"/>
      <c r="E26" s="142"/>
      <c r="F26" s="143" t="s">
        <v>16</v>
      </c>
      <c r="G26" s="143"/>
      <c r="H26" s="143"/>
      <c r="I26" s="143"/>
      <c r="J26" s="144" t="s">
        <v>82</v>
      </c>
      <c r="K26" s="144"/>
    </row>
    <row r="27" spans="1:11" ht="24.95" customHeight="1" thickTop="1" thickBot="1" x14ac:dyDescent="0.2">
      <c r="A27" s="73"/>
      <c r="B27" s="74" t="s">
        <v>7</v>
      </c>
      <c r="C27" s="75"/>
      <c r="D27" s="76" t="s">
        <v>8</v>
      </c>
      <c r="E27" s="77"/>
      <c r="F27" s="78" t="s">
        <v>81</v>
      </c>
      <c r="G27" s="78" t="s">
        <v>9</v>
      </c>
      <c r="H27" s="78" t="s">
        <v>88</v>
      </c>
      <c r="I27" s="145" t="s">
        <v>10</v>
      </c>
      <c r="J27" s="146"/>
      <c r="K27" s="78" t="s">
        <v>11</v>
      </c>
    </row>
    <row r="28" spans="1:11" ht="24.95" customHeight="1" thickTop="1" x14ac:dyDescent="0.15">
      <c r="A28" s="100"/>
      <c r="B28" s="93"/>
      <c r="C28" s="94"/>
      <c r="D28" s="96"/>
      <c r="E28" s="83"/>
      <c r="F28" s="104"/>
      <c r="G28" s="34"/>
      <c r="H28" s="102"/>
      <c r="I28" s="149">
        <f>SUM(F28*H28)</f>
        <v>0</v>
      </c>
      <c r="J28" s="148"/>
      <c r="K28" s="80"/>
    </row>
    <row r="29" spans="1:11" ht="24.95" customHeight="1" x14ac:dyDescent="0.15">
      <c r="A29" s="81"/>
      <c r="B29" s="82"/>
      <c r="C29" s="95"/>
      <c r="D29" s="97"/>
      <c r="E29" s="83"/>
      <c r="F29" s="104"/>
      <c r="G29" s="34"/>
      <c r="H29" s="102"/>
      <c r="I29" s="149">
        <f>SUM(F29*H29)</f>
        <v>0</v>
      </c>
      <c r="J29" s="148"/>
      <c r="K29" s="80"/>
    </row>
    <row r="30" spans="1:11" ht="24.95" customHeight="1" x14ac:dyDescent="0.15">
      <c r="A30" s="81"/>
      <c r="B30" s="10"/>
      <c r="C30" s="95"/>
      <c r="D30" s="97"/>
      <c r="E30" s="83"/>
      <c r="F30" s="104"/>
      <c r="G30" s="34"/>
      <c r="H30" s="102"/>
      <c r="I30" s="149">
        <f t="shared" ref="I30:I49" si="1">SUM(F30*H30)</f>
        <v>0</v>
      </c>
      <c r="J30" s="148"/>
      <c r="K30" s="80"/>
    </row>
    <row r="31" spans="1:11" ht="24.95" customHeight="1" x14ac:dyDescent="0.15">
      <c r="A31" s="81"/>
      <c r="B31" s="82"/>
      <c r="C31" s="95"/>
      <c r="D31" s="97"/>
      <c r="E31" s="83"/>
      <c r="F31" s="104"/>
      <c r="G31" s="34"/>
      <c r="H31" s="102"/>
      <c r="I31" s="149">
        <f t="shared" si="1"/>
        <v>0</v>
      </c>
      <c r="J31" s="148"/>
      <c r="K31" s="80"/>
    </row>
    <row r="32" spans="1:11" ht="24.95" customHeight="1" x14ac:dyDescent="0.15">
      <c r="A32" s="81"/>
      <c r="B32" s="82"/>
      <c r="C32" s="95"/>
      <c r="D32" s="97"/>
      <c r="E32" s="83"/>
      <c r="F32" s="104"/>
      <c r="G32" s="34"/>
      <c r="H32" s="102"/>
      <c r="I32" s="149">
        <f t="shared" si="1"/>
        <v>0</v>
      </c>
      <c r="J32" s="148"/>
      <c r="K32" s="80"/>
    </row>
    <row r="33" spans="1:11" ht="24.95" customHeight="1" x14ac:dyDescent="0.15">
      <c r="A33" s="81"/>
      <c r="B33" s="82"/>
      <c r="C33" s="95"/>
      <c r="D33" s="97"/>
      <c r="E33" s="83"/>
      <c r="F33" s="104"/>
      <c r="G33" s="34"/>
      <c r="H33" s="102"/>
      <c r="I33" s="149">
        <f t="shared" si="1"/>
        <v>0</v>
      </c>
      <c r="J33" s="148"/>
      <c r="K33" s="80"/>
    </row>
    <row r="34" spans="1:11" ht="24.95" customHeight="1" x14ac:dyDescent="0.15">
      <c r="A34" s="81"/>
      <c r="B34" s="82"/>
      <c r="C34" s="95"/>
      <c r="D34" s="97"/>
      <c r="E34" s="83"/>
      <c r="F34" s="104"/>
      <c r="G34" s="34"/>
      <c r="H34" s="102"/>
      <c r="I34" s="149">
        <f t="shared" si="1"/>
        <v>0</v>
      </c>
      <c r="J34" s="148"/>
      <c r="K34" s="80"/>
    </row>
    <row r="35" spans="1:11" ht="24.95" customHeight="1" x14ac:dyDescent="0.15">
      <c r="A35" s="81"/>
      <c r="B35" s="82"/>
      <c r="C35" s="95"/>
      <c r="D35" s="97"/>
      <c r="E35" s="83"/>
      <c r="F35" s="104"/>
      <c r="G35" s="34"/>
      <c r="H35" s="102"/>
      <c r="I35" s="149">
        <f t="shared" si="1"/>
        <v>0</v>
      </c>
      <c r="J35" s="148"/>
      <c r="K35" s="80"/>
    </row>
    <row r="36" spans="1:11" ht="24.95" customHeight="1" x14ac:dyDescent="0.15">
      <c r="A36" s="81"/>
      <c r="B36" s="82"/>
      <c r="C36" s="95"/>
      <c r="D36" s="97"/>
      <c r="E36" s="83"/>
      <c r="F36" s="104"/>
      <c r="G36" s="34"/>
      <c r="H36" s="102"/>
      <c r="I36" s="149">
        <f t="shared" si="1"/>
        <v>0</v>
      </c>
      <c r="J36" s="148"/>
      <c r="K36" s="80"/>
    </row>
    <row r="37" spans="1:11" ht="24.95" customHeight="1" x14ac:dyDescent="0.15">
      <c r="A37" s="81"/>
      <c r="B37" s="82"/>
      <c r="C37" s="95"/>
      <c r="D37" s="97"/>
      <c r="E37" s="83"/>
      <c r="F37" s="104"/>
      <c r="G37" s="34"/>
      <c r="H37" s="102"/>
      <c r="I37" s="149">
        <f t="shared" si="1"/>
        <v>0</v>
      </c>
      <c r="J37" s="148"/>
      <c r="K37" s="80"/>
    </row>
    <row r="38" spans="1:11" ht="24.95" customHeight="1" x14ac:dyDescent="0.15">
      <c r="A38" s="81"/>
      <c r="B38" s="82"/>
      <c r="C38" s="95"/>
      <c r="D38" s="97"/>
      <c r="E38" s="83"/>
      <c r="F38" s="104"/>
      <c r="G38" s="34"/>
      <c r="H38" s="102"/>
      <c r="I38" s="149">
        <f t="shared" si="1"/>
        <v>0</v>
      </c>
      <c r="J38" s="148"/>
      <c r="K38" s="80"/>
    </row>
    <row r="39" spans="1:11" ht="24.95" customHeight="1" x14ac:dyDescent="0.15">
      <c r="A39" s="81"/>
      <c r="B39" s="82"/>
      <c r="C39" s="95"/>
      <c r="D39" s="97"/>
      <c r="E39" s="83"/>
      <c r="F39" s="104"/>
      <c r="G39" s="34"/>
      <c r="H39" s="102"/>
      <c r="I39" s="149">
        <f t="shared" si="1"/>
        <v>0</v>
      </c>
      <c r="J39" s="148"/>
      <c r="K39" s="80"/>
    </row>
    <row r="40" spans="1:11" ht="24.95" customHeight="1" x14ac:dyDescent="0.15">
      <c r="A40" s="81"/>
      <c r="B40" s="82"/>
      <c r="C40" s="95"/>
      <c r="D40" s="97"/>
      <c r="E40" s="83"/>
      <c r="F40" s="104"/>
      <c r="G40" s="34"/>
      <c r="H40" s="103"/>
      <c r="I40" s="147">
        <f t="shared" si="1"/>
        <v>0</v>
      </c>
      <c r="J40" s="148"/>
      <c r="K40" s="80"/>
    </row>
    <row r="41" spans="1:11" ht="24.95" customHeight="1" x14ac:dyDescent="0.15">
      <c r="A41" s="81"/>
      <c r="B41" s="82"/>
      <c r="C41" s="95"/>
      <c r="D41" s="97"/>
      <c r="E41" s="83"/>
      <c r="F41" s="104"/>
      <c r="G41" s="34"/>
      <c r="H41" s="103"/>
      <c r="I41" s="147">
        <f t="shared" si="1"/>
        <v>0</v>
      </c>
      <c r="J41" s="148"/>
      <c r="K41" s="80"/>
    </row>
    <row r="42" spans="1:11" ht="24.95" customHeight="1" x14ac:dyDescent="0.15">
      <c r="A42" s="81"/>
      <c r="B42" s="82"/>
      <c r="C42" s="95"/>
      <c r="D42" s="97"/>
      <c r="E42" s="83"/>
      <c r="F42" s="104"/>
      <c r="G42" s="34"/>
      <c r="H42" s="103"/>
      <c r="I42" s="147">
        <f t="shared" si="1"/>
        <v>0</v>
      </c>
      <c r="J42" s="148"/>
      <c r="K42" s="80"/>
    </row>
    <row r="43" spans="1:11" ht="24.95" customHeight="1" x14ac:dyDescent="0.15">
      <c r="A43" s="81"/>
      <c r="B43" s="82"/>
      <c r="C43" s="95"/>
      <c r="D43" s="97"/>
      <c r="E43" s="83"/>
      <c r="F43" s="104"/>
      <c r="G43" s="34"/>
      <c r="H43" s="102"/>
      <c r="I43" s="149">
        <f t="shared" si="1"/>
        <v>0</v>
      </c>
      <c r="J43" s="148"/>
      <c r="K43" s="80"/>
    </row>
    <row r="44" spans="1:11" ht="24.95" customHeight="1" x14ac:dyDescent="0.15">
      <c r="A44" s="81"/>
      <c r="B44" s="82"/>
      <c r="C44" s="95"/>
      <c r="D44" s="97"/>
      <c r="E44" s="83"/>
      <c r="F44" s="104"/>
      <c r="G44" s="34"/>
      <c r="H44" s="102"/>
      <c r="I44" s="149">
        <f t="shared" si="1"/>
        <v>0</v>
      </c>
      <c r="J44" s="148"/>
      <c r="K44" s="80"/>
    </row>
    <row r="45" spans="1:11" ht="24.95" customHeight="1" x14ac:dyDescent="0.15">
      <c r="A45" s="81"/>
      <c r="B45" s="82"/>
      <c r="C45" s="95"/>
      <c r="D45" s="97"/>
      <c r="E45" s="83"/>
      <c r="F45" s="104"/>
      <c r="G45" s="34"/>
      <c r="H45" s="102"/>
      <c r="I45" s="149">
        <f t="shared" si="1"/>
        <v>0</v>
      </c>
      <c r="J45" s="148"/>
      <c r="K45" s="80"/>
    </row>
    <row r="46" spans="1:11" ht="24.95" customHeight="1" x14ac:dyDescent="0.15">
      <c r="A46" s="81"/>
      <c r="B46" s="82"/>
      <c r="C46" s="95"/>
      <c r="D46" s="97"/>
      <c r="E46" s="83"/>
      <c r="F46" s="104"/>
      <c r="G46" s="34"/>
      <c r="H46" s="102"/>
      <c r="I46" s="149">
        <f t="shared" si="1"/>
        <v>0</v>
      </c>
      <c r="J46" s="148"/>
      <c r="K46" s="80"/>
    </row>
    <row r="47" spans="1:11" ht="24.95" customHeight="1" x14ac:dyDescent="0.15">
      <c r="A47" s="81"/>
      <c r="B47" s="82"/>
      <c r="C47" s="95"/>
      <c r="D47" s="97"/>
      <c r="E47" s="83"/>
      <c r="F47" s="104"/>
      <c r="G47" s="34"/>
      <c r="H47" s="102"/>
      <c r="I47" s="149">
        <f t="shared" si="1"/>
        <v>0</v>
      </c>
      <c r="J47" s="148"/>
      <c r="K47" s="80"/>
    </row>
    <row r="48" spans="1:11" ht="24.95" customHeight="1" x14ac:dyDescent="0.15">
      <c r="A48" s="81"/>
      <c r="B48" s="82"/>
      <c r="C48" s="95"/>
      <c r="D48" s="97"/>
      <c r="E48" s="98"/>
      <c r="F48" s="104"/>
      <c r="G48" s="34"/>
      <c r="H48" s="102"/>
      <c r="I48" s="149">
        <f t="shared" si="1"/>
        <v>0</v>
      </c>
      <c r="J48" s="148"/>
      <c r="K48" s="80"/>
    </row>
    <row r="49" spans="1:11" ht="24.95" customHeight="1" x14ac:dyDescent="0.15">
      <c r="A49" s="81"/>
      <c r="B49" s="82"/>
      <c r="C49" s="95"/>
      <c r="D49" s="97"/>
      <c r="E49" s="83"/>
      <c r="F49" s="104"/>
      <c r="G49" s="34"/>
      <c r="H49" s="102"/>
      <c r="I49" s="149">
        <f t="shared" si="1"/>
        <v>0</v>
      </c>
      <c r="J49" s="148"/>
      <c r="K49" s="80"/>
    </row>
    <row r="50" spans="1:11" ht="24.95" customHeight="1" x14ac:dyDescent="0.15">
      <c r="A50" s="101"/>
      <c r="B50" s="84"/>
      <c r="C50" s="79" t="s">
        <v>17</v>
      </c>
      <c r="D50" s="84"/>
      <c r="E50" s="99"/>
      <c r="F50" s="105"/>
      <c r="G50" s="6"/>
      <c r="H50" s="102"/>
      <c r="I50" s="149">
        <f>SUM(I27:J49)</f>
        <v>0</v>
      </c>
      <c r="J50" s="148"/>
      <c r="K50" s="85"/>
    </row>
    <row r="51" spans="1:11" ht="30" customHeight="1" thickBot="1" x14ac:dyDescent="0.2">
      <c r="A51" s="141" t="s">
        <v>15</v>
      </c>
      <c r="B51" s="141"/>
      <c r="C51" s="142">
        <f>表紙!C65</f>
        <v>0</v>
      </c>
      <c r="D51" s="142"/>
      <c r="E51" s="142"/>
      <c r="F51" s="143" t="s">
        <v>16</v>
      </c>
      <c r="G51" s="143"/>
      <c r="H51" s="143"/>
      <c r="I51" s="143"/>
      <c r="J51" s="144" t="s">
        <v>83</v>
      </c>
      <c r="K51" s="144"/>
    </row>
    <row r="52" spans="1:11" ht="24.95" customHeight="1" thickTop="1" thickBot="1" x14ac:dyDescent="0.2">
      <c r="A52" s="73"/>
      <c r="B52" s="74" t="s">
        <v>7</v>
      </c>
      <c r="C52" s="75"/>
      <c r="D52" s="76" t="s">
        <v>8</v>
      </c>
      <c r="E52" s="77"/>
      <c r="F52" s="78" t="s">
        <v>81</v>
      </c>
      <c r="G52" s="78" t="s">
        <v>9</v>
      </c>
      <c r="H52" s="78" t="s">
        <v>88</v>
      </c>
      <c r="I52" s="145" t="s">
        <v>10</v>
      </c>
      <c r="J52" s="146"/>
      <c r="K52" s="78" t="s">
        <v>11</v>
      </c>
    </row>
    <row r="53" spans="1:11" ht="24.95" customHeight="1" thickTop="1" x14ac:dyDescent="0.15">
      <c r="A53" s="100"/>
      <c r="B53" s="93"/>
      <c r="C53" s="94"/>
      <c r="D53" s="96"/>
      <c r="E53" s="83"/>
      <c r="F53" s="104"/>
      <c r="G53" s="34"/>
      <c r="H53" s="102"/>
      <c r="I53" s="149">
        <f>SUM(F53*H53)</f>
        <v>0</v>
      </c>
      <c r="J53" s="148"/>
      <c r="K53" s="80"/>
    </row>
    <row r="54" spans="1:11" ht="24.95" customHeight="1" x14ac:dyDescent="0.15">
      <c r="A54" s="81"/>
      <c r="B54" s="82"/>
      <c r="C54" s="95"/>
      <c r="D54" s="97"/>
      <c r="E54" s="83"/>
      <c r="F54" s="104"/>
      <c r="G54" s="34"/>
      <c r="H54" s="102"/>
      <c r="I54" s="149">
        <f>SUM(F54*H54)</f>
        <v>0</v>
      </c>
      <c r="J54" s="148"/>
      <c r="K54" s="80"/>
    </row>
    <row r="55" spans="1:11" ht="24.95" customHeight="1" x14ac:dyDescent="0.15">
      <c r="A55" s="81"/>
      <c r="B55" s="10"/>
      <c r="C55" s="95"/>
      <c r="D55" s="97"/>
      <c r="E55" s="83"/>
      <c r="F55" s="104"/>
      <c r="G55" s="34"/>
      <c r="H55" s="102"/>
      <c r="I55" s="149">
        <f t="shared" ref="I55:I74" si="2">SUM(F55*H55)</f>
        <v>0</v>
      </c>
      <c r="J55" s="148"/>
      <c r="K55" s="80"/>
    </row>
    <row r="56" spans="1:11" ht="24.95" customHeight="1" x14ac:dyDescent="0.15">
      <c r="A56" s="81"/>
      <c r="B56" s="82"/>
      <c r="C56" s="95"/>
      <c r="D56" s="97"/>
      <c r="E56" s="83"/>
      <c r="F56" s="104"/>
      <c r="G56" s="34"/>
      <c r="H56" s="102"/>
      <c r="I56" s="149">
        <f t="shared" si="2"/>
        <v>0</v>
      </c>
      <c r="J56" s="148"/>
      <c r="K56" s="80"/>
    </row>
    <row r="57" spans="1:11" ht="24.95" customHeight="1" x14ac:dyDescent="0.15">
      <c r="A57" s="81"/>
      <c r="B57" s="82"/>
      <c r="C57" s="95"/>
      <c r="D57" s="97"/>
      <c r="E57" s="83"/>
      <c r="F57" s="104"/>
      <c r="G57" s="34"/>
      <c r="H57" s="102"/>
      <c r="I57" s="149">
        <f t="shared" si="2"/>
        <v>0</v>
      </c>
      <c r="J57" s="148"/>
      <c r="K57" s="80"/>
    </row>
    <row r="58" spans="1:11" ht="24.95" customHeight="1" x14ac:dyDescent="0.15">
      <c r="A58" s="81"/>
      <c r="B58" s="82"/>
      <c r="C58" s="95"/>
      <c r="D58" s="97"/>
      <c r="E58" s="83"/>
      <c r="F58" s="104"/>
      <c r="G58" s="34"/>
      <c r="H58" s="102"/>
      <c r="I58" s="149">
        <f t="shared" si="2"/>
        <v>0</v>
      </c>
      <c r="J58" s="148"/>
      <c r="K58" s="80"/>
    </row>
    <row r="59" spans="1:11" ht="24.95" customHeight="1" x14ac:dyDescent="0.15">
      <c r="A59" s="81"/>
      <c r="B59" s="82"/>
      <c r="C59" s="95"/>
      <c r="D59" s="97"/>
      <c r="E59" s="83"/>
      <c r="F59" s="104"/>
      <c r="G59" s="34"/>
      <c r="H59" s="102"/>
      <c r="I59" s="149">
        <f t="shared" si="2"/>
        <v>0</v>
      </c>
      <c r="J59" s="148"/>
      <c r="K59" s="80"/>
    </row>
    <row r="60" spans="1:11" ht="24.95" customHeight="1" x14ac:dyDescent="0.15">
      <c r="A60" s="81"/>
      <c r="B60" s="82"/>
      <c r="C60" s="95"/>
      <c r="D60" s="97"/>
      <c r="E60" s="83"/>
      <c r="F60" s="104"/>
      <c r="G60" s="34"/>
      <c r="H60" s="102"/>
      <c r="I60" s="149">
        <f t="shared" si="2"/>
        <v>0</v>
      </c>
      <c r="J60" s="148"/>
      <c r="K60" s="80"/>
    </row>
    <row r="61" spans="1:11" ht="24.95" customHeight="1" x14ac:dyDescent="0.15">
      <c r="A61" s="81"/>
      <c r="B61" s="82"/>
      <c r="C61" s="95"/>
      <c r="D61" s="97"/>
      <c r="E61" s="83"/>
      <c r="F61" s="104"/>
      <c r="G61" s="34"/>
      <c r="H61" s="102"/>
      <c r="I61" s="149">
        <f t="shared" si="2"/>
        <v>0</v>
      </c>
      <c r="J61" s="148"/>
      <c r="K61" s="80"/>
    </row>
    <row r="62" spans="1:11" ht="24.95" customHeight="1" x14ac:dyDescent="0.15">
      <c r="A62" s="81"/>
      <c r="B62" s="82"/>
      <c r="C62" s="95"/>
      <c r="D62" s="97"/>
      <c r="E62" s="83"/>
      <c r="F62" s="104"/>
      <c r="G62" s="34"/>
      <c r="H62" s="102"/>
      <c r="I62" s="149">
        <f t="shared" si="2"/>
        <v>0</v>
      </c>
      <c r="J62" s="148"/>
      <c r="K62" s="80"/>
    </row>
    <row r="63" spans="1:11" ht="24.95" customHeight="1" x14ac:dyDescent="0.15">
      <c r="A63" s="81"/>
      <c r="B63" s="82"/>
      <c r="C63" s="95"/>
      <c r="D63" s="97"/>
      <c r="E63" s="83"/>
      <c r="F63" s="104"/>
      <c r="G63" s="34"/>
      <c r="H63" s="102"/>
      <c r="I63" s="149">
        <f t="shared" si="2"/>
        <v>0</v>
      </c>
      <c r="J63" s="148"/>
      <c r="K63" s="80"/>
    </row>
    <row r="64" spans="1:11" ht="24.95" customHeight="1" x14ac:dyDescent="0.15">
      <c r="A64" s="81"/>
      <c r="B64" s="82"/>
      <c r="C64" s="95"/>
      <c r="D64" s="97"/>
      <c r="E64" s="83"/>
      <c r="F64" s="104"/>
      <c r="G64" s="34"/>
      <c r="H64" s="102"/>
      <c r="I64" s="149">
        <f t="shared" si="2"/>
        <v>0</v>
      </c>
      <c r="J64" s="148"/>
      <c r="K64" s="80"/>
    </row>
    <row r="65" spans="1:11" ht="24.95" customHeight="1" x14ac:dyDescent="0.15">
      <c r="A65" s="81"/>
      <c r="B65" s="82"/>
      <c r="C65" s="95"/>
      <c r="D65" s="97"/>
      <c r="E65" s="83"/>
      <c r="F65" s="104"/>
      <c r="G65" s="34"/>
      <c r="H65" s="103"/>
      <c r="I65" s="147">
        <f t="shared" si="2"/>
        <v>0</v>
      </c>
      <c r="J65" s="148"/>
      <c r="K65" s="80"/>
    </row>
    <row r="66" spans="1:11" ht="24.95" customHeight="1" x14ac:dyDescent="0.15">
      <c r="A66" s="81"/>
      <c r="B66" s="82"/>
      <c r="C66" s="95"/>
      <c r="D66" s="97"/>
      <c r="E66" s="83"/>
      <c r="F66" s="104"/>
      <c r="G66" s="34"/>
      <c r="H66" s="103"/>
      <c r="I66" s="147">
        <f t="shared" si="2"/>
        <v>0</v>
      </c>
      <c r="J66" s="148"/>
      <c r="K66" s="80"/>
    </row>
    <row r="67" spans="1:11" ht="24.95" customHeight="1" x14ac:dyDescent="0.15">
      <c r="A67" s="81"/>
      <c r="B67" s="82"/>
      <c r="C67" s="95"/>
      <c r="D67" s="97"/>
      <c r="E67" s="83"/>
      <c r="F67" s="104"/>
      <c r="G67" s="34"/>
      <c r="H67" s="103"/>
      <c r="I67" s="147">
        <f t="shared" si="2"/>
        <v>0</v>
      </c>
      <c r="J67" s="148"/>
      <c r="K67" s="80"/>
    </row>
    <row r="68" spans="1:11" ht="24.95" customHeight="1" x14ac:dyDescent="0.15">
      <c r="A68" s="81"/>
      <c r="B68" s="82"/>
      <c r="C68" s="95"/>
      <c r="D68" s="97"/>
      <c r="E68" s="83"/>
      <c r="F68" s="104"/>
      <c r="G68" s="34"/>
      <c r="H68" s="102"/>
      <c r="I68" s="149">
        <f t="shared" si="2"/>
        <v>0</v>
      </c>
      <c r="J68" s="148"/>
      <c r="K68" s="80"/>
    </row>
    <row r="69" spans="1:11" ht="24.95" customHeight="1" x14ac:dyDescent="0.15">
      <c r="A69" s="81"/>
      <c r="B69" s="82"/>
      <c r="C69" s="95"/>
      <c r="D69" s="97"/>
      <c r="E69" s="83"/>
      <c r="F69" s="104"/>
      <c r="G69" s="34"/>
      <c r="H69" s="102"/>
      <c r="I69" s="149">
        <f t="shared" si="2"/>
        <v>0</v>
      </c>
      <c r="J69" s="148"/>
      <c r="K69" s="80"/>
    </row>
    <row r="70" spans="1:11" ht="24.95" customHeight="1" x14ac:dyDescent="0.15">
      <c r="A70" s="81"/>
      <c r="B70" s="82"/>
      <c r="C70" s="95"/>
      <c r="D70" s="97"/>
      <c r="E70" s="83"/>
      <c r="F70" s="104"/>
      <c r="G70" s="34"/>
      <c r="H70" s="102"/>
      <c r="I70" s="149">
        <f t="shared" si="2"/>
        <v>0</v>
      </c>
      <c r="J70" s="148"/>
      <c r="K70" s="80"/>
    </row>
    <row r="71" spans="1:11" ht="24.95" customHeight="1" x14ac:dyDescent="0.15">
      <c r="A71" s="81"/>
      <c r="B71" s="82"/>
      <c r="C71" s="95"/>
      <c r="D71" s="97"/>
      <c r="E71" s="83"/>
      <c r="F71" s="104"/>
      <c r="G71" s="34"/>
      <c r="H71" s="102"/>
      <c r="I71" s="149">
        <f t="shared" si="2"/>
        <v>0</v>
      </c>
      <c r="J71" s="148"/>
      <c r="K71" s="80"/>
    </row>
    <row r="72" spans="1:11" ht="24.95" customHeight="1" x14ac:dyDescent="0.15">
      <c r="A72" s="81"/>
      <c r="B72" s="82"/>
      <c r="C72" s="95"/>
      <c r="D72" s="97"/>
      <c r="E72" s="83"/>
      <c r="F72" s="104"/>
      <c r="G72" s="34"/>
      <c r="H72" s="102"/>
      <c r="I72" s="149">
        <f t="shared" si="2"/>
        <v>0</v>
      </c>
      <c r="J72" s="148"/>
      <c r="K72" s="80"/>
    </row>
    <row r="73" spans="1:11" ht="24.95" customHeight="1" x14ac:dyDescent="0.15">
      <c r="A73" s="81"/>
      <c r="B73" s="82"/>
      <c r="C73" s="95"/>
      <c r="D73" s="97"/>
      <c r="E73" s="98"/>
      <c r="F73" s="104"/>
      <c r="G73" s="34"/>
      <c r="H73" s="102"/>
      <c r="I73" s="149">
        <f t="shared" si="2"/>
        <v>0</v>
      </c>
      <c r="J73" s="148"/>
      <c r="K73" s="80"/>
    </row>
    <row r="74" spans="1:11" ht="24.95" customHeight="1" x14ac:dyDescent="0.15">
      <c r="A74" s="81"/>
      <c r="B74" s="82"/>
      <c r="C74" s="95"/>
      <c r="D74" s="97"/>
      <c r="E74" s="83"/>
      <c r="F74" s="104"/>
      <c r="G74" s="34"/>
      <c r="H74" s="102"/>
      <c r="I74" s="149">
        <f t="shared" si="2"/>
        <v>0</v>
      </c>
      <c r="J74" s="148"/>
      <c r="K74" s="80"/>
    </row>
    <row r="75" spans="1:11" ht="24.95" customHeight="1" x14ac:dyDescent="0.15">
      <c r="A75" s="101"/>
      <c r="B75" s="84"/>
      <c r="C75" s="79" t="s">
        <v>17</v>
      </c>
      <c r="D75" s="84"/>
      <c r="E75" s="99"/>
      <c r="F75" s="105"/>
      <c r="G75" s="6"/>
      <c r="H75" s="102"/>
      <c r="I75" s="149">
        <f>SUM(I52:J74)</f>
        <v>0</v>
      </c>
      <c r="J75" s="148"/>
      <c r="K75" s="85"/>
    </row>
    <row r="76" spans="1:11" ht="30" customHeight="1" thickBot="1" x14ac:dyDescent="0.2">
      <c r="A76" s="141" t="s">
        <v>15</v>
      </c>
      <c r="B76" s="141"/>
      <c r="C76" s="142">
        <f>表紙!C90</f>
        <v>0</v>
      </c>
      <c r="D76" s="142"/>
      <c r="E76" s="142"/>
      <c r="F76" s="143" t="s">
        <v>16</v>
      </c>
      <c r="G76" s="143"/>
      <c r="H76" s="143"/>
      <c r="I76" s="143"/>
      <c r="J76" s="144" t="s">
        <v>84</v>
      </c>
      <c r="K76" s="144"/>
    </row>
    <row r="77" spans="1:11" ht="24.95" customHeight="1" thickTop="1" thickBot="1" x14ac:dyDescent="0.2">
      <c r="A77" s="73"/>
      <c r="B77" s="74" t="s">
        <v>7</v>
      </c>
      <c r="C77" s="75"/>
      <c r="D77" s="76" t="s">
        <v>8</v>
      </c>
      <c r="E77" s="77"/>
      <c r="F77" s="78" t="s">
        <v>81</v>
      </c>
      <c r="G77" s="78" t="s">
        <v>9</v>
      </c>
      <c r="H77" s="78" t="s">
        <v>88</v>
      </c>
      <c r="I77" s="145" t="s">
        <v>10</v>
      </c>
      <c r="J77" s="146"/>
      <c r="K77" s="78" t="s">
        <v>11</v>
      </c>
    </row>
    <row r="78" spans="1:11" ht="24.95" customHeight="1" thickTop="1" x14ac:dyDescent="0.15">
      <c r="A78" s="100"/>
      <c r="B78" s="93"/>
      <c r="C78" s="94"/>
      <c r="D78" s="96"/>
      <c r="E78" s="83"/>
      <c r="F78" s="104"/>
      <c r="G78" s="34"/>
      <c r="H78" s="102"/>
      <c r="I78" s="149">
        <f>SUM(F78*H78)</f>
        <v>0</v>
      </c>
      <c r="J78" s="148"/>
      <c r="K78" s="80"/>
    </row>
    <row r="79" spans="1:11" ht="24.95" customHeight="1" x14ac:dyDescent="0.15">
      <c r="A79" s="81"/>
      <c r="B79" s="82"/>
      <c r="C79" s="95"/>
      <c r="D79" s="97"/>
      <c r="E79" s="83"/>
      <c r="F79" s="104"/>
      <c r="G79" s="34"/>
      <c r="H79" s="102"/>
      <c r="I79" s="149">
        <f>SUM(F79*H79)</f>
        <v>0</v>
      </c>
      <c r="J79" s="148"/>
      <c r="K79" s="80"/>
    </row>
    <row r="80" spans="1:11" ht="24.95" customHeight="1" x14ac:dyDescent="0.15">
      <c r="A80" s="81"/>
      <c r="B80" s="10"/>
      <c r="C80" s="95"/>
      <c r="D80" s="97"/>
      <c r="E80" s="83"/>
      <c r="F80" s="104"/>
      <c r="G80" s="34"/>
      <c r="H80" s="102"/>
      <c r="I80" s="149">
        <f t="shared" ref="I80:I99" si="3">SUM(F80*H80)</f>
        <v>0</v>
      </c>
      <c r="J80" s="148"/>
      <c r="K80" s="80"/>
    </row>
    <row r="81" spans="1:11" ht="24.95" customHeight="1" x14ac:dyDescent="0.15">
      <c r="A81" s="81"/>
      <c r="B81" s="82"/>
      <c r="C81" s="95"/>
      <c r="D81" s="97"/>
      <c r="E81" s="83"/>
      <c r="F81" s="104"/>
      <c r="G81" s="34"/>
      <c r="H81" s="102"/>
      <c r="I81" s="149">
        <f t="shared" si="3"/>
        <v>0</v>
      </c>
      <c r="J81" s="148"/>
      <c r="K81" s="80"/>
    </row>
    <row r="82" spans="1:11" ht="24.95" customHeight="1" x14ac:dyDescent="0.15">
      <c r="A82" s="81"/>
      <c r="B82" s="82"/>
      <c r="C82" s="95"/>
      <c r="D82" s="97"/>
      <c r="E82" s="83"/>
      <c r="F82" s="104"/>
      <c r="G82" s="34"/>
      <c r="H82" s="102"/>
      <c r="I82" s="149">
        <f t="shared" si="3"/>
        <v>0</v>
      </c>
      <c r="J82" s="148"/>
      <c r="K82" s="80"/>
    </row>
    <row r="83" spans="1:11" ht="24.95" customHeight="1" x14ac:dyDescent="0.15">
      <c r="A83" s="81"/>
      <c r="B83" s="82"/>
      <c r="C83" s="95"/>
      <c r="D83" s="97"/>
      <c r="E83" s="83"/>
      <c r="F83" s="104"/>
      <c r="G83" s="34"/>
      <c r="H83" s="102"/>
      <c r="I83" s="149">
        <f t="shared" si="3"/>
        <v>0</v>
      </c>
      <c r="J83" s="148"/>
      <c r="K83" s="80"/>
    </row>
    <row r="84" spans="1:11" ht="24.95" customHeight="1" x14ac:dyDescent="0.15">
      <c r="A84" s="81"/>
      <c r="B84" s="82"/>
      <c r="C84" s="95"/>
      <c r="D84" s="97"/>
      <c r="E84" s="83"/>
      <c r="F84" s="104"/>
      <c r="G84" s="34"/>
      <c r="H84" s="102"/>
      <c r="I84" s="149">
        <f t="shared" si="3"/>
        <v>0</v>
      </c>
      <c r="J84" s="148"/>
      <c r="K84" s="80"/>
    </row>
    <row r="85" spans="1:11" ht="24.95" customHeight="1" x14ac:dyDescent="0.15">
      <c r="A85" s="81"/>
      <c r="B85" s="82"/>
      <c r="C85" s="95"/>
      <c r="D85" s="97"/>
      <c r="E85" s="83"/>
      <c r="F85" s="104"/>
      <c r="G85" s="34"/>
      <c r="H85" s="102"/>
      <c r="I85" s="149">
        <f t="shared" si="3"/>
        <v>0</v>
      </c>
      <c r="J85" s="148"/>
      <c r="K85" s="80"/>
    </row>
    <row r="86" spans="1:11" ht="24.95" customHeight="1" x14ac:dyDescent="0.15">
      <c r="A86" s="81"/>
      <c r="B86" s="82"/>
      <c r="C86" s="95"/>
      <c r="D86" s="97"/>
      <c r="E86" s="83"/>
      <c r="F86" s="104"/>
      <c r="G86" s="34"/>
      <c r="H86" s="102"/>
      <c r="I86" s="149">
        <f t="shared" si="3"/>
        <v>0</v>
      </c>
      <c r="J86" s="148"/>
      <c r="K86" s="80"/>
    </row>
    <row r="87" spans="1:11" ht="24.95" customHeight="1" x14ac:dyDescent="0.15">
      <c r="A87" s="81"/>
      <c r="B87" s="82"/>
      <c r="C87" s="95"/>
      <c r="D87" s="97"/>
      <c r="E87" s="83"/>
      <c r="F87" s="104"/>
      <c r="G87" s="34"/>
      <c r="H87" s="102"/>
      <c r="I87" s="149">
        <f t="shared" si="3"/>
        <v>0</v>
      </c>
      <c r="J87" s="148"/>
      <c r="K87" s="80"/>
    </row>
    <row r="88" spans="1:11" ht="24.95" customHeight="1" x14ac:dyDescent="0.15">
      <c r="A88" s="81"/>
      <c r="B88" s="82"/>
      <c r="C88" s="95"/>
      <c r="D88" s="97"/>
      <c r="E88" s="83"/>
      <c r="F88" s="104"/>
      <c r="G88" s="34"/>
      <c r="H88" s="102"/>
      <c r="I88" s="149">
        <f t="shared" si="3"/>
        <v>0</v>
      </c>
      <c r="J88" s="148"/>
      <c r="K88" s="80"/>
    </row>
    <row r="89" spans="1:11" ht="24.95" customHeight="1" x14ac:dyDescent="0.15">
      <c r="A89" s="81"/>
      <c r="B89" s="82"/>
      <c r="C89" s="95"/>
      <c r="D89" s="97"/>
      <c r="E89" s="83"/>
      <c r="F89" s="104"/>
      <c r="G89" s="34"/>
      <c r="H89" s="102"/>
      <c r="I89" s="149">
        <f t="shared" si="3"/>
        <v>0</v>
      </c>
      <c r="J89" s="148"/>
      <c r="K89" s="80"/>
    </row>
    <row r="90" spans="1:11" ht="24.95" customHeight="1" x14ac:dyDescent="0.15">
      <c r="A90" s="81"/>
      <c r="B90" s="82"/>
      <c r="C90" s="95"/>
      <c r="D90" s="97"/>
      <c r="E90" s="83"/>
      <c r="F90" s="104"/>
      <c r="G90" s="34"/>
      <c r="H90" s="103"/>
      <c r="I90" s="147">
        <f t="shared" si="3"/>
        <v>0</v>
      </c>
      <c r="J90" s="148"/>
      <c r="K90" s="80"/>
    </row>
    <row r="91" spans="1:11" ht="24.95" customHeight="1" x14ac:dyDescent="0.15">
      <c r="A91" s="81"/>
      <c r="B91" s="82"/>
      <c r="C91" s="95"/>
      <c r="D91" s="97"/>
      <c r="E91" s="83"/>
      <c r="F91" s="104"/>
      <c r="G91" s="34"/>
      <c r="H91" s="103"/>
      <c r="I91" s="147">
        <f t="shared" si="3"/>
        <v>0</v>
      </c>
      <c r="J91" s="148"/>
      <c r="K91" s="80"/>
    </row>
    <row r="92" spans="1:11" ht="24.95" customHeight="1" x14ac:dyDescent="0.15">
      <c r="A92" s="81"/>
      <c r="B92" s="82"/>
      <c r="C92" s="95"/>
      <c r="D92" s="97"/>
      <c r="E92" s="83"/>
      <c r="F92" s="104"/>
      <c r="G92" s="34"/>
      <c r="H92" s="103"/>
      <c r="I92" s="147">
        <f t="shared" si="3"/>
        <v>0</v>
      </c>
      <c r="J92" s="148"/>
      <c r="K92" s="80"/>
    </row>
    <row r="93" spans="1:11" ht="24.95" customHeight="1" x14ac:dyDescent="0.15">
      <c r="A93" s="81"/>
      <c r="B93" s="82"/>
      <c r="C93" s="95"/>
      <c r="D93" s="97"/>
      <c r="E93" s="83"/>
      <c r="F93" s="104"/>
      <c r="G93" s="34"/>
      <c r="H93" s="102"/>
      <c r="I93" s="149">
        <f t="shared" si="3"/>
        <v>0</v>
      </c>
      <c r="J93" s="148"/>
      <c r="K93" s="80"/>
    </row>
    <row r="94" spans="1:11" ht="24.95" customHeight="1" x14ac:dyDescent="0.15">
      <c r="A94" s="81"/>
      <c r="B94" s="82"/>
      <c r="C94" s="95"/>
      <c r="D94" s="97"/>
      <c r="E94" s="83"/>
      <c r="F94" s="104"/>
      <c r="G94" s="34"/>
      <c r="H94" s="102"/>
      <c r="I94" s="149">
        <f t="shared" si="3"/>
        <v>0</v>
      </c>
      <c r="J94" s="148"/>
      <c r="K94" s="80"/>
    </row>
    <row r="95" spans="1:11" ht="24.95" customHeight="1" x14ac:dyDescent="0.15">
      <c r="A95" s="81"/>
      <c r="B95" s="82"/>
      <c r="C95" s="95"/>
      <c r="D95" s="97"/>
      <c r="E95" s="83"/>
      <c r="F95" s="104"/>
      <c r="G95" s="34"/>
      <c r="H95" s="102"/>
      <c r="I95" s="149">
        <f t="shared" si="3"/>
        <v>0</v>
      </c>
      <c r="J95" s="148"/>
      <c r="K95" s="80"/>
    </row>
    <row r="96" spans="1:11" ht="24.95" customHeight="1" x14ac:dyDescent="0.15">
      <c r="A96" s="81"/>
      <c r="B96" s="82"/>
      <c r="C96" s="95"/>
      <c r="D96" s="97"/>
      <c r="E96" s="83"/>
      <c r="F96" s="104"/>
      <c r="G96" s="34"/>
      <c r="H96" s="102"/>
      <c r="I96" s="149">
        <f t="shared" si="3"/>
        <v>0</v>
      </c>
      <c r="J96" s="148"/>
      <c r="K96" s="80"/>
    </row>
    <row r="97" spans="1:11" ht="24.95" customHeight="1" x14ac:dyDescent="0.15">
      <c r="A97" s="81"/>
      <c r="B97" s="82"/>
      <c r="C97" s="95"/>
      <c r="D97" s="97"/>
      <c r="E97" s="83"/>
      <c r="F97" s="104"/>
      <c r="G97" s="34"/>
      <c r="H97" s="102"/>
      <c r="I97" s="149">
        <f t="shared" si="3"/>
        <v>0</v>
      </c>
      <c r="J97" s="148"/>
      <c r="K97" s="80"/>
    </row>
    <row r="98" spans="1:11" ht="24.95" customHeight="1" x14ac:dyDescent="0.15">
      <c r="A98" s="81"/>
      <c r="B98" s="82"/>
      <c r="C98" s="95"/>
      <c r="D98" s="97"/>
      <c r="E98" s="98"/>
      <c r="F98" s="104"/>
      <c r="G98" s="34"/>
      <c r="H98" s="102"/>
      <c r="I98" s="149">
        <f t="shared" si="3"/>
        <v>0</v>
      </c>
      <c r="J98" s="148"/>
      <c r="K98" s="80"/>
    </row>
    <row r="99" spans="1:11" ht="24.95" customHeight="1" x14ac:dyDescent="0.15">
      <c r="A99" s="81"/>
      <c r="B99" s="82"/>
      <c r="C99" s="95"/>
      <c r="D99" s="97"/>
      <c r="E99" s="83"/>
      <c r="F99" s="104"/>
      <c r="G99" s="34"/>
      <c r="H99" s="102"/>
      <c r="I99" s="149">
        <f t="shared" si="3"/>
        <v>0</v>
      </c>
      <c r="J99" s="148"/>
      <c r="K99" s="80"/>
    </row>
    <row r="100" spans="1:11" ht="24.95" customHeight="1" x14ac:dyDescent="0.15">
      <c r="A100" s="101"/>
      <c r="B100" s="84"/>
      <c r="C100" s="79" t="s">
        <v>17</v>
      </c>
      <c r="D100" s="84"/>
      <c r="E100" s="99"/>
      <c r="F100" s="105"/>
      <c r="G100" s="6"/>
      <c r="H100" s="102"/>
      <c r="I100" s="149">
        <f>SUM(I77:J99)</f>
        <v>0</v>
      </c>
      <c r="J100" s="148"/>
      <c r="K100" s="85"/>
    </row>
    <row r="101" spans="1:11" ht="30" customHeight="1" thickBot="1" x14ac:dyDescent="0.2">
      <c r="A101" s="141" t="s">
        <v>15</v>
      </c>
      <c r="B101" s="141"/>
      <c r="C101" s="142">
        <f>表紙!C115</f>
        <v>0</v>
      </c>
      <c r="D101" s="142"/>
      <c r="E101" s="142"/>
      <c r="F101" s="143" t="s">
        <v>16</v>
      </c>
      <c r="G101" s="143"/>
      <c r="H101" s="143"/>
      <c r="I101" s="143"/>
      <c r="J101" s="144" t="s">
        <v>85</v>
      </c>
      <c r="K101" s="144"/>
    </row>
    <row r="102" spans="1:11" ht="24.95" customHeight="1" thickTop="1" thickBot="1" x14ac:dyDescent="0.2">
      <c r="A102" s="73"/>
      <c r="B102" s="74" t="s">
        <v>7</v>
      </c>
      <c r="C102" s="75"/>
      <c r="D102" s="76" t="s">
        <v>8</v>
      </c>
      <c r="E102" s="77"/>
      <c r="F102" s="78" t="s">
        <v>81</v>
      </c>
      <c r="G102" s="78" t="s">
        <v>9</v>
      </c>
      <c r="H102" s="78" t="s">
        <v>88</v>
      </c>
      <c r="I102" s="145" t="s">
        <v>10</v>
      </c>
      <c r="J102" s="146"/>
      <c r="K102" s="78" t="s">
        <v>11</v>
      </c>
    </row>
    <row r="103" spans="1:11" ht="24.95" customHeight="1" thickTop="1" x14ac:dyDescent="0.15">
      <c r="A103" s="100"/>
      <c r="B103" s="93"/>
      <c r="C103" s="94"/>
      <c r="D103" s="96"/>
      <c r="E103" s="83"/>
      <c r="F103" s="104"/>
      <c r="G103" s="34"/>
      <c r="H103" s="102"/>
      <c r="I103" s="149">
        <f>SUM(F103*H103)</f>
        <v>0</v>
      </c>
      <c r="J103" s="148"/>
      <c r="K103" s="80"/>
    </row>
    <row r="104" spans="1:11" ht="24.95" customHeight="1" x14ac:dyDescent="0.15">
      <c r="A104" s="81"/>
      <c r="B104" s="82"/>
      <c r="C104" s="95"/>
      <c r="D104" s="97"/>
      <c r="E104" s="83"/>
      <c r="F104" s="104"/>
      <c r="G104" s="34"/>
      <c r="H104" s="102"/>
      <c r="I104" s="149">
        <f>SUM(F104*H104)</f>
        <v>0</v>
      </c>
      <c r="J104" s="148"/>
      <c r="K104" s="80"/>
    </row>
    <row r="105" spans="1:11" ht="24.95" customHeight="1" x14ac:dyDescent="0.15">
      <c r="A105" s="81"/>
      <c r="B105" s="10"/>
      <c r="C105" s="95"/>
      <c r="D105" s="97"/>
      <c r="E105" s="83"/>
      <c r="F105" s="104"/>
      <c r="G105" s="34"/>
      <c r="H105" s="102"/>
      <c r="I105" s="149">
        <f t="shared" ref="I105:I124" si="4">SUM(F105*H105)</f>
        <v>0</v>
      </c>
      <c r="J105" s="148"/>
      <c r="K105" s="80"/>
    </row>
    <row r="106" spans="1:11" ht="24.95" customHeight="1" x14ac:dyDescent="0.15">
      <c r="A106" s="81"/>
      <c r="B106" s="82"/>
      <c r="C106" s="95"/>
      <c r="D106" s="97"/>
      <c r="E106" s="83"/>
      <c r="F106" s="104"/>
      <c r="G106" s="34"/>
      <c r="H106" s="102"/>
      <c r="I106" s="149">
        <f t="shared" si="4"/>
        <v>0</v>
      </c>
      <c r="J106" s="148"/>
      <c r="K106" s="80"/>
    </row>
    <row r="107" spans="1:11" ht="24.95" customHeight="1" x14ac:dyDescent="0.15">
      <c r="A107" s="81"/>
      <c r="B107" s="82"/>
      <c r="C107" s="95"/>
      <c r="D107" s="97"/>
      <c r="E107" s="83"/>
      <c r="F107" s="104"/>
      <c r="G107" s="34"/>
      <c r="H107" s="102"/>
      <c r="I107" s="149">
        <f t="shared" si="4"/>
        <v>0</v>
      </c>
      <c r="J107" s="148"/>
      <c r="K107" s="80"/>
    </row>
    <row r="108" spans="1:11" ht="24.95" customHeight="1" x14ac:dyDescent="0.15">
      <c r="A108" s="81"/>
      <c r="B108" s="82"/>
      <c r="C108" s="95"/>
      <c r="D108" s="97"/>
      <c r="E108" s="83"/>
      <c r="F108" s="104"/>
      <c r="G108" s="34"/>
      <c r="H108" s="102"/>
      <c r="I108" s="149">
        <f t="shared" si="4"/>
        <v>0</v>
      </c>
      <c r="J108" s="148"/>
      <c r="K108" s="80"/>
    </row>
    <row r="109" spans="1:11" ht="24.95" customHeight="1" x14ac:dyDescent="0.15">
      <c r="A109" s="81"/>
      <c r="B109" s="82"/>
      <c r="C109" s="95"/>
      <c r="D109" s="97"/>
      <c r="E109" s="83"/>
      <c r="F109" s="104"/>
      <c r="G109" s="34"/>
      <c r="H109" s="102"/>
      <c r="I109" s="149">
        <f t="shared" si="4"/>
        <v>0</v>
      </c>
      <c r="J109" s="148"/>
      <c r="K109" s="80"/>
    </row>
    <row r="110" spans="1:11" ht="24.95" customHeight="1" x14ac:dyDescent="0.15">
      <c r="A110" s="81"/>
      <c r="B110" s="82"/>
      <c r="C110" s="95"/>
      <c r="D110" s="97"/>
      <c r="E110" s="83"/>
      <c r="F110" s="104"/>
      <c r="G110" s="34"/>
      <c r="H110" s="102"/>
      <c r="I110" s="149">
        <f t="shared" si="4"/>
        <v>0</v>
      </c>
      <c r="J110" s="148"/>
      <c r="K110" s="80"/>
    </row>
    <row r="111" spans="1:11" ht="24.95" customHeight="1" x14ac:dyDescent="0.15">
      <c r="A111" s="81"/>
      <c r="B111" s="82"/>
      <c r="C111" s="95"/>
      <c r="D111" s="97"/>
      <c r="E111" s="83"/>
      <c r="F111" s="104"/>
      <c r="G111" s="34"/>
      <c r="H111" s="102"/>
      <c r="I111" s="149">
        <f t="shared" si="4"/>
        <v>0</v>
      </c>
      <c r="J111" s="148"/>
      <c r="K111" s="80"/>
    </row>
    <row r="112" spans="1:11" ht="24.95" customHeight="1" x14ac:dyDescent="0.15">
      <c r="A112" s="81"/>
      <c r="B112" s="82"/>
      <c r="C112" s="95"/>
      <c r="D112" s="97"/>
      <c r="E112" s="83"/>
      <c r="F112" s="104"/>
      <c r="G112" s="34"/>
      <c r="H112" s="102"/>
      <c r="I112" s="149">
        <f t="shared" si="4"/>
        <v>0</v>
      </c>
      <c r="J112" s="148"/>
      <c r="K112" s="80"/>
    </row>
    <row r="113" spans="1:11" ht="24.95" customHeight="1" x14ac:dyDescent="0.15">
      <c r="A113" s="81"/>
      <c r="B113" s="82"/>
      <c r="C113" s="95"/>
      <c r="D113" s="97"/>
      <c r="E113" s="83"/>
      <c r="F113" s="104"/>
      <c r="G113" s="34"/>
      <c r="H113" s="102"/>
      <c r="I113" s="149">
        <f t="shared" si="4"/>
        <v>0</v>
      </c>
      <c r="J113" s="148"/>
      <c r="K113" s="80"/>
    </row>
    <row r="114" spans="1:11" ht="24.95" customHeight="1" x14ac:dyDescent="0.15">
      <c r="A114" s="81"/>
      <c r="B114" s="82"/>
      <c r="C114" s="95"/>
      <c r="D114" s="97"/>
      <c r="E114" s="83"/>
      <c r="F114" s="104"/>
      <c r="G114" s="34"/>
      <c r="H114" s="102"/>
      <c r="I114" s="149">
        <f t="shared" si="4"/>
        <v>0</v>
      </c>
      <c r="J114" s="148"/>
      <c r="K114" s="80"/>
    </row>
    <row r="115" spans="1:11" ht="24.95" customHeight="1" x14ac:dyDescent="0.15">
      <c r="A115" s="81"/>
      <c r="B115" s="82"/>
      <c r="C115" s="95"/>
      <c r="D115" s="97"/>
      <c r="E115" s="83"/>
      <c r="F115" s="104"/>
      <c r="G115" s="34"/>
      <c r="H115" s="103"/>
      <c r="I115" s="147">
        <f t="shared" si="4"/>
        <v>0</v>
      </c>
      <c r="J115" s="148"/>
      <c r="K115" s="80"/>
    </row>
    <row r="116" spans="1:11" ht="24.95" customHeight="1" x14ac:dyDescent="0.15">
      <c r="A116" s="81"/>
      <c r="B116" s="82"/>
      <c r="C116" s="95"/>
      <c r="D116" s="97"/>
      <c r="E116" s="83"/>
      <c r="F116" s="104"/>
      <c r="G116" s="34"/>
      <c r="H116" s="103"/>
      <c r="I116" s="147">
        <f t="shared" si="4"/>
        <v>0</v>
      </c>
      <c r="J116" s="148"/>
      <c r="K116" s="80"/>
    </row>
    <row r="117" spans="1:11" ht="24.95" customHeight="1" x14ac:dyDescent="0.15">
      <c r="A117" s="81"/>
      <c r="B117" s="82"/>
      <c r="C117" s="95"/>
      <c r="D117" s="97"/>
      <c r="E117" s="83"/>
      <c r="F117" s="104"/>
      <c r="G117" s="34"/>
      <c r="H117" s="103"/>
      <c r="I117" s="147">
        <f t="shared" si="4"/>
        <v>0</v>
      </c>
      <c r="J117" s="148"/>
      <c r="K117" s="80"/>
    </row>
    <row r="118" spans="1:11" ht="24.95" customHeight="1" x14ac:dyDescent="0.15">
      <c r="A118" s="81"/>
      <c r="B118" s="82"/>
      <c r="C118" s="95"/>
      <c r="D118" s="97"/>
      <c r="E118" s="83"/>
      <c r="F118" s="104"/>
      <c r="G118" s="34"/>
      <c r="H118" s="102"/>
      <c r="I118" s="149">
        <f t="shared" si="4"/>
        <v>0</v>
      </c>
      <c r="J118" s="148"/>
      <c r="K118" s="80"/>
    </row>
    <row r="119" spans="1:11" ht="24.95" customHeight="1" x14ac:dyDescent="0.15">
      <c r="A119" s="81"/>
      <c r="B119" s="82"/>
      <c r="C119" s="95"/>
      <c r="D119" s="97"/>
      <c r="E119" s="83"/>
      <c r="F119" s="104"/>
      <c r="G119" s="34"/>
      <c r="H119" s="102"/>
      <c r="I119" s="149">
        <f t="shared" si="4"/>
        <v>0</v>
      </c>
      <c r="J119" s="148"/>
      <c r="K119" s="80"/>
    </row>
    <row r="120" spans="1:11" ht="24.95" customHeight="1" x14ac:dyDescent="0.15">
      <c r="A120" s="81"/>
      <c r="B120" s="82"/>
      <c r="C120" s="95"/>
      <c r="D120" s="97"/>
      <c r="E120" s="83"/>
      <c r="F120" s="104"/>
      <c r="G120" s="34"/>
      <c r="H120" s="102"/>
      <c r="I120" s="149">
        <f t="shared" si="4"/>
        <v>0</v>
      </c>
      <c r="J120" s="148"/>
      <c r="K120" s="80"/>
    </row>
    <row r="121" spans="1:11" ht="24.95" customHeight="1" x14ac:dyDescent="0.15">
      <c r="A121" s="81"/>
      <c r="B121" s="82"/>
      <c r="C121" s="95"/>
      <c r="D121" s="97"/>
      <c r="E121" s="83"/>
      <c r="F121" s="104"/>
      <c r="G121" s="34"/>
      <c r="H121" s="102"/>
      <c r="I121" s="149">
        <f t="shared" si="4"/>
        <v>0</v>
      </c>
      <c r="J121" s="148"/>
      <c r="K121" s="80"/>
    </row>
    <row r="122" spans="1:11" ht="24.95" customHeight="1" x14ac:dyDescent="0.15">
      <c r="A122" s="81"/>
      <c r="B122" s="82"/>
      <c r="C122" s="95"/>
      <c r="D122" s="97"/>
      <c r="E122" s="83"/>
      <c r="F122" s="104"/>
      <c r="G122" s="34"/>
      <c r="H122" s="102"/>
      <c r="I122" s="149">
        <f t="shared" si="4"/>
        <v>0</v>
      </c>
      <c r="J122" s="148"/>
      <c r="K122" s="80"/>
    </row>
    <row r="123" spans="1:11" ht="24.95" customHeight="1" x14ac:dyDescent="0.15">
      <c r="A123" s="81"/>
      <c r="B123" s="82"/>
      <c r="C123" s="95"/>
      <c r="D123" s="97"/>
      <c r="E123" s="98"/>
      <c r="F123" s="104"/>
      <c r="G123" s="34"/>
      <c r="H123" s="102"/>
      <c r="I123" s="149">
        <f t="shared" si="4"/>
        <v>0</v>
      </c>
      <c r="J123" s="148"/>
      <c r="K123" s="80"/>
    </row>
    <row r="124" spans="1:11" ht="24.95" customHeight="1" x14ac:dyDescent="0.15">
      <c r="A124" s="81"/>
      <c r="B124" s="82"/>
      <c r="C124" s="95"/>
      <c r="D124" s="97"/>
      <c r="E124" s="83"/>
      <c r="F124" s="104"/>
      <c r="G124" s="34"/>
      <c r="H124" s="102"/>
      <c r="I124" s="149">
        <f t="shared" si="4"/>
        <v>0</v>
      </c>
      <c r="J124" s="148"/>
      <c r="K124" s="80"/>
    </row>
    <row r="125" spans="1:11" ht="24.95" customHeight="1" x14ac:dyDescent="0.15">
      <c r="A125" s="101"/>
      <c r="B125" s="84"/>
      <c r="C125" s="79" t="s">
        <v>17</v>
      </c>
      <c r="D125" s="84"/>
      <c r="E125" s="99"/>
      <c r="F125" s="105"/>
      <c r="G125" s="6"/>
      <c r="H125" s="102"/>
      <c r="I125" s="149">
        <f>SUM(I102:J124)</f>
        <v>0</v>
      </c>
      <c r="J125" s="148"/>
      <c r="K125" s="85"/>
    </row>
    <row r="126" spans="1:11" ht="30" customHeight="1" thickBot="1" x14ac:dyDescent="0.2">
      <c r="A126" s="141" t="s">
        <v>15</v>
      </c>
      <c r="B126" s="141"/>
      <c r="C126" s="142">
        <f>表紙!C140</f>
        <v>0</v>
      </c>
      <c r="D126" s="142"/>
      <c r="E126" s="142"/>
      <c r="F126" s="143" t="s">
        <v>16</v>
      </c>
      <c r="G126" s="143"/>
      <c r="H126" s="143"/>
      <c r="I126" s="143"/>
      <c r="J126" s="144" t="s">
        <v>86</v>
      </c>
      <c r="K126" s="144"/>
    </row>
    <row r="127" spans="1:11" ht="24.95" customHeight="1" thickTop="1" thickBot="1" x14ac:dyDescent="0.2">
      <c r="A127" s="73"/>
      <c r="B127" s="74" t="s">
        <v>7</v>
      </c>
      <c r="C127" s="75"/>
      <c r="D127" s="76" t="s">
        <v>8</v>
      </c>
      <c r="E127" s="77"/>
      <c r="F127" s="78" t="s">
        <v>81</v>
      </c>
      <c r="G127" s="78" t="s">
        <v>9</v>
      </c>
      <c r="H127" s="78" t="s">
        <v>88</v>
      </c>
      <c r="I127" s="145" t="s">
        <v>10</v>
      </c>
      <c r="J127" s="146"/>
      <c r="K127" s="78" t="s">
        <v>11</v>
      </c>
    </row>
    <row r="128" spans="1:11" ht="24.95" customHeight="1" thickTop="1" x14ac:dyDescent="0.15">
      <c r="A128" s="100"/>
      <c r="B128" s="93"/>
      <c r="C128" s="94"/>
      <c r="D128" s="96"/>
      <c r="E128" s="83"/>
      <c r="F128" s="104"/>
      <c r="G128" s="34"/>
      <c r="H128" s="102"/>
      <c r="I128" s="149">
        <f>SUM(F128*H128)</f>
        <v>0</v>
      </c>
      <c r="J128" s="148"/>
      <c r="K128" s="80"/>
    </row>
    <row r="129" spans="1:11" ht="24.95" customHeight="1" x14ac:dyDescent="0.15">
      <c r="A129" s="81"/>
      <c r="B129" s="82"/>
      <c r="C129" s="95"/>
      <c r="D129" s="97"/>
      <c r="E129" s="83"/>
      <c r="F129" s="104"/>
      <c r="G129" s="34"/>
      <c r="H129" s="102"/>
      <c r="I129" s="149">
        <f>SUM(F129*H129)</f>
        <v>0</v>
      </c>
      <c r="J129" s="148"/>
      <c r="K129" s="80"/>
    </row>
    <row r="130" spans="1:11" ht="24.95" customHeight="1" x14ac:dyDescent="0.15">
      <c r="A130" s="81"/>
      <c r="B130" s="10"/>
      <c r="C130" s="95"/>
      <c r="D130" s="97"/>
      <c r="E130" s="83"/>
      <c r="F130" s="104"/>
      <c r="G130" s="34"/>
      <c r="H130" s="102"/>
      <c r="I130" s="149">
        <f t="shared" ref="I130:I149" si="5">SUM(F130*H130)</f>
        <v>0</v>
      </c>
      <c r="J130" s="148"/>
      <c r="K130" s="80"/>
    </row>
    <row r="131" spans="1:11" ht="24.95" customHeight="1" x14ac:dyDescent="0.15">
      <c r="A131" s="81"/>
      <c r="B131" s="82"/>
      <c r="C131" s="95"/>
      <c r="D131" s="97"/>
      <c r="E131" s="83"/>
      <c r="F131" s="104"/>
      <c r="G131" s="34"/>
      <c r="H131" s="102"/>
      <c r="I131" s="149">
        <f t="shared" si="5"/>
        <v>0</v>
      </c>
      <c r="J131" s="148"/>
      <c r="K131" s="80"/>
    </row>
    <row r="132" spans="1:11" ht="24.95" customHeight="1" x14ac:dyDescent="0.15">
      <c r="A132" s="81"/>
      <c r="B132" s="82"/>
      <c r="C132" s="95"/>
      <c r="D132" s="97"/>
      <c r="E132" s="83"/>
      <c r="F132" s="104"/>
      <c r="G132" s="34"/>
      <c r="H132" s="102"/>
      <c r="I132" s="149">
        <f t="shared" si="5"/>
        <v>0</v>
      </c>
      <c r="J132" s="148"/>
      <c r="K132" s="80"/>
    </row>
    <row r="133" spans="1:11" ht="24.95" customHeight="1" x14ac:dyDescent="0.15">
      <c r="A133" s="81"/>
      <c r="B133" s="82"/>
      <c r="C133" s="95"/>
      <c r="D133" s="97"/>
      <c r="E133" s="83"/>
      <c r="F133" s="104"/>
      <c r="G133" s="34"/>
      <c r="H133" s="102"/>
      <c r="I133" s="149">
        <f t="shared" si="5"/>
        <v>0</v>
      </c>
      <c r="J133" s="148"/>
      <c r="K133" s="80"/>
    </row>
    <row r="134" spans="1:11" ht="24.95" customHeight="1" x14ac:dyDescent="0.15">
      <c r="A134" s="81"/>
      <c r="B134" s="82"/>
      <c r="C134" s="95"/>
      <c r="D134" s="97"/>
      <c r="E134" s="83"/>
      <c r="F134" s="104"/>
      <c r="G134" s="34"/>
      <c r="H134" s="102"/>
      <c r="I134" s="149">
        <f t="shared" si="5"/>
        <v>0</v>
      </c>
      <c r="J134" s="148"/>
      <c r="K134" s="80"/>
    </row>
    <row r="135" spans="1:11" ht="24.95" customHeight="1" x14ac:dyDescent="0.15">
      <c r="A135" s="81"/>
      <c r="B135" s="82"/>
      <c r="C135" s="95"/>
      <c r="D135" s="97"/>
      <c r="E135" s="83"/>
      <c r="F135" s="104"/>
      <c r="G135" s="34"/>
      <c r="H135" s="102"/>
      <c r="I135" s="149">
        <f t="shared" si="5"/>
        <v>0</v>
      </c>
      <c r="J135" s="148"/>
      <c r="K135" s="80"/>
    </row>
    <row r="136" spans="1:11" ht="24.95" customHeight="1" x14ac:dyDescent="0.15">
      <c r="A136" s="81"/>
      <c r="B136" s="82"/>
      <c r="C136" s="95"/>
      <c r="D136" s="97"/>
      <c r="E136" s="83"/>
      <c r="F136" s="104"/>
      <c r="G136" s="34"/>
      <c r="H136" s="102"/>
      <c r="I136" s="149">
        <f t="shared" si="5"/>
        <v>0</v>
      </c>
      <c r="J136" s="148"/>
      <c r="K136" s="80"/>
    </row>
    <row r="137" spans="1:11" ht="24.95" customHeight="1" x14ac:dyDescent="0.15">
      <c r="A137" s="81"/>
      <c r="B137" s="82"/>
      <c r="C137" s="95"/>
      <c r="D137" s="97"/>
      <c r="E137" s="83"/>
      <c r="F137" s="104"/>
      <c r="G137" s="34"/>
      <c r="H137" s="102"/>
      <c r="I137" s="149">
        <f t="shared" si="5"/>
        <v>0</v>
      </c>
      <c r="J137" s="148"/>
      <c r="K137" s="80"/>
    </row>
    <row r="138" spans="1:11" ht="24.95" customHeight="1" x14ac:dyDescent="0.15">
      <c r="A138" s="81"/>
      <c r="B138" s="82"/>
      <c r="C138" s="95"/>
      <c r="D138" s="97"/>
      <c r="E138" s="83"/>
      <c r="F138" s="104"/>
      <c r="G138" s="34"/>
      <c r="H138" s="102"/>
      <c r="I138" s="149">
        <f t="shared" si="5"/>
        <v>0</v>
      </c>
      <c r="J138" s="148"/>
      <c r="K138" s="80"/>
    </row>
    <row r="139" spans="1:11" ht="24.95" customHeight="1" x14ac:dyDescent="0.15">
      <c r="A139" s="81"/>
      <c r="B139" s="82"/>
      <c r="C139" s="95"/>
      <c r="D139" s="97"/>
      <c r="E139" s="83"/>
      <c r="F139" s="104"/>
      <c r="G139" s="34"/>
      <c r="H139" s="102"/>
      <c r="I139" s="149">
        <f t="shared" si="5"/>
        <v>0</v>
      </c>
      <c r="J139" s="148"/>
      <c r="K139" s="80"/>
    </row>
    <row r="140" spans="1:11" ht="24.95" customHeight="1" x14ac:dyDescent="0.15">
      <c r="A140" s="81"/>
      <c r="B140" s="82"/>
      <c r="C140" s="95"/>
      <c r="D140" s="97"/>
      <c r="E140" s="83"/>
      <c r="F140" s="104"/>
      <c r="G140" s="34"/>
      <c r="H140" s="103"/>
      <c r="I140" s="147">
        <f t="shared" si="5"/>
        <v>0</v>
      </c>
      <c r="J140" s="148"/>
      <c r="K140" s="80"/>
    </row>
    <row r="141" spans="1:11" ht="24.95" customHeight="1" x14ac:dyDescent="0.15">
      <c r="A141" s="81"/>
      <c r="B141" s="82"/>
      <c r="C141" s="95"/>
      <c r="D141" s="97"/>
      <c r="E141" s="83"/>
      <c r="F141" s="104"/>
      <c r="G141" s="34"/>
      <c r="H141" s="103"/>
      <c r="I141" s="147">
        <f t="shared" si="5"/>
        <v>0</v>
      </c>
      <c r="J141" s="148"/>
      <c r="K141" s="80"/>
    </row>
    <row r="142" spans="1:11" ht="24.95" customHeight="1" x14ac:dyDescent="0.15">
      <c r="A142" s="81"/>
      <c r="B142" s="82"/>
      <c r="C142" s="95"/>
      <c r="D142" s="97"/>
      <c r="E142" s="83"/>
      <c r="F142" s="104"/>
      <c r="G142" s="34"/>
      <c r="H142" s="103"/>
      <c r="I142" s="147">
        <f t="shared" si="5"/>
        <v>0</v>
      </c>
      <c r="J142" s="148"/>
      <c r="K142" s="80"/>
    </row>
    <row r="143" spans="1:11" ht="24.95" customHeight="1" x14ac:dyDescent="0.15">
      <c r="A143" s="81"/>
      <c r="B143" s="82"/>
      <c r="C143" s="95"/>
      <c r="D143" s="97"/>
      <c r="E143" s="83"/>
      <c r="F143" s="104"/>
      <c r="G143" s="34"/>
      <c r="H143" s="102"/>
      <c r="I143" s="149">
        <f t="shared" si="5"/>
        <v>0</v>
      </c>
      <c r="J143" s="148"/>
      <c r="K143" s="80"/>
    </row>
    <row r="144" spans="1:11" ht="24.95" customHeight="1" x14ac:dyDescent="0.15">
      <c r="A144" s="81"/>
      <c r="B144" s="82"/>
      <c r="C144" s="95"/>
      <c r="D144" s="97"/>
      <c r="E144" s="83"/>
      <c r="F144" s="104"/>
      <c r="G144" s="34"/>
      <c r="H144" s="102"/>
      <c r="I144" s="149">
        <f t="shared" si="5"/>
        <v>0</v>
      </c>
      <c r="J144" s="148"/>
      <c r="K144" s="80"/>
    </row>
    <row r="145" spans="1:11" ht="24.95" customHeight="1" x14ac:dyDescent="0.15">
      <c r="A145" s="81"/>
      <c r="B145" s="82"/>
      <c r="C145" s="95"/>
      <c r="D145" s="97"/>
      <c r="E145" s="83"/>
      <c r="F145" s="104"/>
      <c r="G145" s="34"/>
      <c r="H145" s="102"/>
      <c r="I145" s="149">
        <f t="shared" si="5"/>
        <v>0</v>
      </c>
      <c r="J145" s="148"/>
      <c r="K145" s="80"/>
    </row>
    <row r="146" spans="1:11" ht="24.95" customHeight="1" x14ac:dyDescent="0.15">
      <c r="A146" s="81"/>
      <c r="B146" s="82"/>
      <c r="C146" s="95"/>
      <c r="D146" s="97"/>
      <c r="E146" s="83"/>
      <c r="F146" s="104"/>
      <c r="G146" s="34"/>
      <c r="H146" s="102"/>
      <c r="I146" s="149">
        <f t="shared" si="5"/>
        <v>0</v>
      </c>
      <c r="J146" s="148"/>
      <c r="K146" s="80"/>
    </row>
    <row r="147" spans="1:11" ht="24.95" customHeight="1" x14ac:dyDescent="0.15">
      <c r="A147" s="81"/>
      <c r="B147" s="82"/>
      <c r="C147" s="95"/>
      <c r="D147" s="97"/>
      <c r="E147" s="83"/>
      <c r="F147" s="104"/>
      <c r="G147" s="34"/>
      <c r="H147" s="102"/>
      <c r="I147" s="149">
        <f t="shared" si="5"/>
        <v>0</v>
      </c>
      <c r="J147" s="148"/>
      <c r="K147" s="80"/>
    </row>
    <row r="148" spans="1:11" ht="24.95" customHeight="1" x14ac:dyDescent="0.15">
      <c r="A148" s="81"/>
      <c r="B148" s="82"/>
      <c r="C148" s="95"/>
      <c r="D148" s="97"/>
      <c r="E148" s="98"/>
      <c r="F148" s="104"/>
      <c r="G148" s="34"/>
      <c r="H148" s="102"/>
      <c r="I148" s="149">
        <f t="shared" si="5"/>
        <v>0</v>
      </c>
      <c r="J148" s="148"/>
      <c r="K148" s="80"/>
    </row>
    <row r="149" spans="1:11" ht="24.95" customHeight="1" x14ac:dyDescent="0.15">
      <c r="A149" s="81"/>
      <c r="B149" s="82"/>
      <c r="C149" s="95"/>
      <c r="D149" s="97"/>
      <c r="E149" s="83"/>
      <c r="F149" s="104"/>
      <c r="G149" s="34"/>
      <c r="H149" s="102"/>
      <c r="I149" s="149">
        <f t="shared" si="5"/>
        <v>0</v>
      </c>
      <c r="J149" s="148"/>
      <c r="K149" s="80"/>
    </row>
    <row r="150" spans="1:11" ht="24.95" customHeight="1" x14ac:dyDescent="0.15">
      <c r="A150" s="101"/>
      <c r="B150" s="84"/>
      <c r="C150" s="79" t="s">
        <v>17</v>
      </c>
      <c r="D150" s="84"/>
      <c r="E150" s="99"/>
      <c r="F150" s="105"/>
      <c r="G150" s="6"/>
      <c r="H150" s="102"/>
      <c r="I150" s="149">
        <f>SUM(I127:J149)</f>
        <v>0</v>
      </c>
      <c r="J150" s="148"/>
      <c r="K150" s="85"/>
    </row>
  </sheetData>
  <mergeCells count="170">
    <mergeCell ref="I147:J147"/>
    <mergeCell ref="I148:J148"/>
    <mergeCell ref="I149:J149"/>
    <mergeCell ref="I150:J150"/>
    <mergeCell ref="I142:J142"/>
    <mergeCell ref="I143:J143"/>
    <mergeCell ref="I144:J144"/>
    <mergeCell ref="I145:J145"/>
    <mergeCell ref="I146:J146"/>
    <mergeCell ref="I137:J137"/>
    <mergeCell ref="I138:J138"/>
    <mergeCell ref="I139:J139"/>
    <mergeCell ref="I140:J140"/>
    <mergeCell ref="I141:J141"/>
    <mergeCell ref="I132:J132"/>
    <mergeCell ref="I133:J133"/>
    <mergeCell ref="I134:J134"/>
    <mergeCell ref="I135:J135"/>
    <mergeCell ref="I136:J136"/>
    <mergeCell ref="I127:J127"/>
    <mergeCell ref="I128:J128"/>
    <mergeCell ref="I129:J129"/>
    <mergeCell ref="I130:J130"/>
    <mergeCell ref="I131:J131"/>
    <mergeCell ref="I122:J122"/>
    <mergeCell ref="I123:J123"/>
    <mergeCell ref="I124:J124"/>
    <mergeCell ref="I125:J125"/>
    <mergeCell ref="A126:B126"/>
    <mergeCell ref="C126:E126"/>
    <mergeCell ref="F126:I126"/>
    <mergeCell ref="J126:K126"/>
    <mergeCell ref="I117:J117"/>
    <mergeCell ref="I118:J118"/>
    <mergeCell ref="I119:J119"/>
    <mergeCell ref="I120:J120"/>
    <mergeCell ref="I121:J121"/>
    <mergeCell ref="I112:J112"/>
    <mergeCell ref="I113:J113"/>
    <mergeCell ref="I114:J114"/>
    <mergeCell ref="I115:J115"/>
    <mergeCell ref="I116:J116"/>
    <mergeCell ref="I107:J107"/>
    <mergeCell ref="I108:J108"/>
    <mergeCell ref="I109:J109"/>
    <mergeCell ref="I110:J110"/>
    <mergeCell ref="I111:J111"/>
    <mergeCell ref="I102:J102"/>
    <mergeCell ref="I103:J103"/>
    <mergeCell ref="I104:J104"/>
    <mergeCell ref="I105:J105"/>
    <mergeCell ref="I106:J106"/>
    <mergeCell ref="I97:J97"/>
    <mergeCell ref="I98:J98"/>
    <mergeCell ref="I99:J99"/>
    <mergeCell ref="I100:J100"/>
    <mergeCell ref="A101:B101"/>
    <mergeCell ref="C101:E101"/>
    <mergeCell ref="F101:I101"/>
    <mergeCell ref="J101:K101"/>
    <mergeCell ref="I92:J92"/>
    <mergeCell ref="I93:J93"/>
    <mergeCell ref="I94:J94"/>
    <mergeCell ref="I95:J95"/>
    <mergeCell ref="I96:J96"/>
    <mergeCell ref="I87:J87"/>
    <mergeCell ref="I88:J88"/>
    <mergeCell ref="I89:J89"/>
    <mergeCell ref="I90:J90"/>
    <mergeCell ref="I91:J91"/>
    <mergeCell ref="I82:J82"/>
    <mergeCell ref="I83:J83"/>
    <mergeCell ref="I84:J84"/>
    <mergeCell ref="I85:J85"/>
    <mergeCell ref="I86:J86"/>
    <mergeCell ref="I77:J77"/>
    <mergeCell ref="I78:J78"/>
    <mergeCell ref="I79:J79"/>
    <mergeCell ref="I80:J80"/>
    <mergeCell ref="I81:J81"/>
    <mergeCell ref="I72:J72"/>
    <mergeCell ref="I73:J73"/>
    <mergeCell ref="I74:J74"/>
    <mergeCell ref="I75:J75"/>
    <mergeCell ref="A76:B76"/>
    <mergeCell ref="C76:E76"/>
    <mergeCell ref="F76:I76"/>
    <mergeCell ref="J76:K76"/>
    <mergeCell ref="I67:J67"/>
    <mergeCell ref="I68:J68"/>
    <mergeCell ref="I69:J69"/>
    <mergeCell ref="I70:J70"/>
    <mergeCell ref="I71:J71"/>
    <mergeCell ref="I62:J62"/>
    <mergeCell ref="I63:J63"/>
    <mergeCell ref="I64:J64"/>
    <mergeCell ref="I65:J65"/>
    <mergeCell ref="I66:J66"/>
    <mergeCell ref="I57:J57"/>
    <mergeCell ref="I58:J58"/>
    <mergeCell ref="I59:J59"/>
    <mergeCell ref="I60:J60"/>
    <mergeCell ref="I61:J61"/>
    <mergeCell ref="I52:J52"/>
    <mergeCell ref="I53:J53"/>
    <mergeCell ref="I54:J54"/>
    <mergeCell ref="I55:J55"/>
    <mergeCell ref="I56:J56"/>
    <mergeCell ref="I47:J47"/>
    <mergeCell ref="I48:J48"/>
    <mergeCell ref="I49:J49"/>
    <mergeCell ref="I50:J50"/>
    <mergeCell ref="A51:B51"/>
    <mergeCell ref="C51:E51"/>
    <mergeCell ref="F51:I51"/>
    <mergeCell ref="J51:K51"/>
    <mergeCell ref="I42:J42"/>
    <mergeCell ref="I43:J43"/>
    <mergeCell ref="I44:J44"/>
    <mergeCell ref="I45:J45"/>
    <mergeCell ref="I46:J46"/>
    <mergeCell ref="I37:J37"/>
    <mergeCell ref="I38:J38"/>
    <mergeCell ref="I39:J39"/>
    <mergeCell ref="I40:J40"/>
    <mergeCell ref="I41:J41"/>
    <mergeCell ref="I32:J32"/>
    <mergeCell ref="I33:J33"/>
    <mergeCell ref="I34:J34"/>
    <mergeCell ref="I35:J35"/>
    <mergeCell ref="I36:J36"/>
    <mergeCell ref="I27:J27"/>
    <mergeCell ref="I28:J28"/>
    <mergeCell ref="I29:J29"/>
    <mergeCell ref="I30:J30"/>
    <mergeCell ref="I31:J31"/>
    <mergeCell ref="I3:J3"/>
    <mergeCell ref="A26:B26"/>
    <mergeCell ref="C26:E26"/>
    <mergeCell ref="F26:I26"/>
    <mergeCell ref="J26:K26"/>
    <mergeCell ref="I22:J22"/>
    <mergeCell ref="I23:J23"/>
    <mergeCell ref="I24:J24"/>
    <mergeCell ref="I25:J25"/>
    <mergeCell ref="I16:J16"/>
    <mergeCell ref="I17:J17"/>
    <mergeCell ref="I18:J18"/>
    <mergeCell ref="I19:J19"/>
    <mergeCell ref="I20:J20"/>
    <mergeCell ref="I21:J21"/>
    <mergeCell ref="A1:B1"/>
    <mergeCell ref="C1:E1"/>
    <mergeCell ref="F1:I1"/>
    <mergeCell ref="J1:K1"/>
    <mergeCell ref="I2:J2"/>
    <mergeCell ref="I15:J15"/>
    <mergeCell ref="I4:J4"/>
    <mergeCell ref="I5:J5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D2:E2"/>
    <mergeCell ref="B2:C2"/>
  </mergeCells>
  <phoneticPr fontId="8"/>
  <dataValidations count="1">
    <dataValidation type="list" allowBlank="1" showInputMessage="1" showErrorMessage="1" sqref="D25 D100 D125 D50 D75 D150" xr:uid="{D91065FE-FD2D-44CD-84E9-17AECA26AEE6}">
      <formula1>"サンゲツ,リリカラ,東リ,シンコール,ニップ,トキワ,タジマ,量産クロス,量産タイルカーペット,＃１０００,タイルカーペット,カーペット,塩ビタイル,ノンスリップシート,トミタ,"</formula1>
    </dataValidation>
  </dataValidations>
  <pageMargins left="0.59055118110236227" right="0" top="0.19685039370078741" bottom="0.19685039370078741" header="0.39370078740157483" footer="0.19685039370078741"/>
  <pageSetup paperSize="9" scale="91" orientation="landscape" r:id="rId1"/>
  <headerFooter alignWithMargins="0"/>
  <rowBreaks count="2" manualBreakCount="2">
    <brk id="25" max="10" man="1"/>
    <brk id="50" max="10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29BC9B1-20D1-4829-8A83-95AE2FE83E18}">
          <x14:formula1>
            <xm:f>マスタ!$D$4:$D$25</xm:f>
          </x14:formula1>
          <xm:sqref>C3:C24 C78:C99 C103:C124 C28:C49 C53:C74 C128:C149</xm:sqref>
        </x14:dataValidation>
        <x14:dataValidation type="list" allowBlank="1" showInputMessage="1" showErrorMessage="1" xr:uid="{901BE4D4-BC47-40EB-AF64-9145548203A5}">
          <x14:formula1>
            <xm:f>マスタ!$B$4:$B$30</xm:f>
          </x14:formula1>
          <xm:sqref>G3:G25 G78:G100 G103:G125 G28:G50 G53:G75 G128:G150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372B6-6F0F-433E-9938-BFEFAE604E27}">
  <dimension ref="B1:E50"/>
  <sheetViews>
    <sheetView topLeftCell="A2" workbookViewId="0">
      <selection activeCell="F14" sqref="F14"/>
    </sheetView>
  </sheetViews>
  <sheetFormatPr defaultRowHeight="13.5" x14ac:dyDescent="0.15"/>
  <cols>
    <col min="1" max="8" width="15.625" customWidth="1"/>
  </cols>
  <sheetData>
    <row r="1" spans="2:5" ht="30" customHeight="1" x14ac:dyDescent="0.15"/>
    <row r="2" spans="2:5" ht="30" customHeight="1" x14ac:dyDescent="0.15">
      <c r="B2" s="9"/>
      <c r="C2" s="10"/>
      <c r="D2" s="10"/>
      <c r="E2" s="9"/>
    </row>
    <row r="3" spans="2:5" ht="30" customHeight="1" x14ac:dyDescent="0.15">
      <c r="B3" s="6" t="s">
        <v>21</v>
      </c>
      <c r="C3" s="6" t="s">
        <v>22</v>
      </c>
      <c r="D3" s="6" t="s">
        <v>23</v>
      </c>
      <c r="E3" s="6" t="s">
        <v>24</v>
      </c>
    </row>
    <row r="4" spans="2:5" ht="30" customHeight="1" x14ac:dyDescent="0.15">
      <c r="B4" s="7" t="s">
        <v>26</v>
      </c>
      <c r="C4" s="8" t="s">
        <v>25</v>
      </c>
      <c r="D4" s="7" t="s">
        <v>53</v>
      </c>
      <c r="E4" s="7" t="s">
        <v>64</v>
      </c>
    </row>
    <row r="5" spans="2:5" ht="30" customHeight="1" x14ac:dyDescent="0.15">
      <c r="B5" s="7" t="s">
        <v>27</v>
      </c>
      <c r="C5" s="8" t="s">
        <v>41</v>
      </c>
      <c r="D5" s="7" t="s">
        <v>54</v>
      </c>
      <c r="E5" s="7" t="s">
        <v>65</v>
      </c>
    </row>
    <row r="6" spans="2:5" ht="30" customHeight="1" x14ac:dyDescent="0.15">
      <c r="B6" s="7" t="s">
        <v>28</v>
      </c>
      <c r="C6" s="8" t="s">
        <v>42</v>
      </c>
      <c r="D6" s="7" t="s">
        <v>55</v>
      </c>
      <c r="E6" s="7" t="s">
        <v>66</v>
      </c>
    </row>
    <row r="7" spans="2:5" ht="30" customHeight="1" x14ac:dyDescent="0.15">
      <c r="B7" s="7" t="s">
        <v>29</v>
      </c>
      <c r="C7" s="8" t="s">
        <v>43</v>
      </c>
      <c r="D7" s="7" t="s">
        <v>59</v>
      </c>
      <c r="E7" s="7" t="s">
        <v>67</v>
      </c>
    </row>
    <row r="8" spans="2:5" ht="30" customHeight="1" x14ac:dyDescent="0.15">
      <c r="B8" s="7" t="s">
        <v>30</v>
      </c>
      <c r="C8" s="8" t="s">
        <v>44</v>
      </c>
      <c r="D8" s="7" t="s">
        <v>60</v>
      </c>
      <c r="E8" s="7" t="s">
        <v>68</v>
      </c>
    </row>
    <row r="9" spans="2:5" ht="30" customHeight="1" x14ac:dyDescent="0.15">
      <c r="B9" s="7" t="s">
        <v>31</v>
      </c>
      <c r="C9" s="8" t="s">
        <v>45</v>
      </c>
      <c r="D9" s="7" t="s">
        <v>56</v>
      </c>
      <c r="E9" s="7" t="s">
        <v>69</v>
      </c>
    </row>
    <row r="10" spans="2:5" ht="30" customHeight="1" x14ac:dyDescent="0.15">
      <c r="B10" s="7" t="s">
        <v>32</v>
      </c>
      <c r="C10" s="8" t="s">
        <v>46</v>
      </c>
      <c r="D10" s="7" t="s">
        <v>61</v>
      </c>
      <c r="E10" s="7" t="s">
        <v>70</v>
      </c>
    </row>
    <row r="11" spans="2:5" ht="30" customHeight="1" x14ac:dyDescent="0.15">
      <c r="B11" s="7" t="s">
        <v>33</v>
      </c>
      <c r="C11" s="8" t="s">
        <v>47</v>
      </c>
      <c r="D11" s="7" t="s">
        <v>58</v>
      </c>
      <c r="E11" s="7" t="s">
        <v>71</v>
      </c>
    </row>
    <row r="12" spans="2:5" ht="30" customHeight="1" x14ac:dyDescent="0.15">
      <c r="B12" s="7" t="s">
        <v>34</v>
      </c>
      <c r="C12" s="8" t="s">
        <v>48</v>
      </c>
      <c r="D12" s="7" t="s">
        <v>57</v>
      </c>
      <c r="E12" s="7" t="s">
        <v>72</v>
      </c>
    </row>
    <row r="13" spans="2:5" ht="30" customHeight="1" x14ac:dyDescent="0.15">
      <c r="B13" s="7" t="s">
        <v>38</v>
      </c>
      <c r="C13" s="8" t="s">
        <v>49</v>
      </c>
      <c r="D13" s="7" t="s">
        <v>62</v>
      </c>
      <c r="E13" s="7" t="s">
        <v>73</v>
      </c>
    </row>
    <row r="14" spans="2:5" ht="30" customHeight="1" x14ac:dyDescent="0.15">
      <c r="B14" s="7" t="s">
        <v>39</v>
      </c>
      <c r="C14" s="8" t="s">
        <v>50</v>
      </c>
      <c r="D14" s="7" t="s">
        <v>63</v>
      </c>
      <c r="E14" s="7"/>
    </row>
    <row r="15" spans="2:5" ht="30" customHeight="1" x14ac:dyDescent="0.15">
      <c r="B15" s="7" t="s">
        <v>35</v>
      </c>
      <c r="C15" s="8" t="s">
        <v>51</v>
      </c>
      <c r="D15" s="7"/>
      <c r="E15" s="7"/>
    </row>
    <row r="16" spans="2:5" ht="30" customHeight="1" x14ac:dyDescent="0.15">
      <c r="B16" s="7" t="s">
        <v>36</v>
      </c>
      <c r="C16" s="8" t="s">
        <v>52</v>
      </c>
      <c r="D16" s="7"/>
      <c r="E16" s="7"/>
    </row>
    <row r="17" spans="2:5" ht="30" customHeight="1" x14ac:dyDescent="0.15">
      <c r="B17" s="7" t="s">
        <v>37</v>
      </c>
      <c r="C17" s="7"/>
      <c r="D17" s="7"/>
      <c r="E17" s="7"/>
    </row>
    <row r="18" spans="2:5" ht="30" customHeight="1" x14ac:dyDescent="0.15">
      <c r="B18" s="7" t="s">
        <v>40</v>
      </c>
      <c r="C18" s="7"/>
      <c r="D18" s="7"/>
      <c r="E18" s="7"/>
    </row>
    <row r="19" spans="2:5" ht="30" customHeight="1" x14ac:dyDescent="0.15"/>
    <row r="20" spans="2:5" ht="30" customHeight="1" x14ac:dyDescent="0.15"/>
    <row r="21" spans="2:5" ht="30" customHeight="1" x14ac:dyDescent="0.15"/>
    <row r="22" spans="2:5" ht="30" customHeight="1" x14ac:dyDescent="0.15"/>
    <row r="23" spans="2:5" ht="30" customHeight="1" x14ac:dyDescent="0.15"/>
    <row r="24" spans="2:5" ht="30" customHeight="1" x14ac:dyDescent="0.15"/>
    <row r="25" spans="2:5" ht="30" customHeight="1" x14ac:dyDescent="0.15"/>
    <row r="26" spans="2:5" ht="30" customHeight="1" x14ac:dyDescent="0.15"/>
    <row r="27" spans="2:5" ht="30" customHeight="1" x14ac:dyDescent="0.15"/>
    <row r="28" spans="2:5" ht="30" customHeight="1" x14ac:dyDescent="0.15"/>
    <row r="29" spans="2:5" ht="30" customHeight="1" x14ac:dyDescent="0.15"/>
    <row r="30" spans="2:5" ht="30" customHeight="1" x14ac:dyDescent="0.15"/>
    <row r="31" spans="2:5" ht="30" customHeight="1" x14ac:dyDescent="0.15"/>
    <row r="32" spans="2:5" ht="30" customHeight="1" x14ac:dyDescent="0.15"/>
    <row r="33" ht="30" customHeight="1" x14ac:dyDescent="0.15"/>
    <row r="34" ht="30" customHeight="1" x14ac:dyDescent="0.15"/>
    <row r="35" ht="30" customHeight="1" x14ac:dyDescent="0.15"/>
    <row r="36" ht="30" customHeight="1" x14ac:dyDescent="0.15"/>
    <row r="37" ht="30" customHeight="1" x14ac:dyDescent="0.15"/>
    <row r="38" ht="30" customHeight="1" x14ac:dyDescent="0.15"/>
    <row r="39" ht="30" customHeight="1" x14ac:dyDescent="0.15"/>
    <row r="40" ht="30" customHeight="1" x14ac:dyDescent="0.15"/>
    <row r="41" ht="30" customHeight="1" x14ac:dyDescent="0.15"/>
    <row r="42" ht="30" customHeight="1" x14ac:dyDescent="0.15"/>
    <row r="43" ht="30" customHeight="1" x14ac:dyDescent="0.15"/>
    <row r="44" ht="30" customHeight="1" x14ac:dyDescent="0.15"/>
    <row r="45" ht="30" customHeight="1" x14ac:dyDescent="0.15"/>
    <row r="46" ht="30" customHeight="1" x14ac:dyDescent="0.15"/>
    <row r="47" ht="30" customHeight="1" x14ac:dyDescent="0.15"/>
    <row r="48" ht="30" customHeight="1" x14ac:dyDescent="0.15"/>
    <row r="49" ht="30" customHeight="1" x14ac:dyDescent="0.15"/>
    <row r="50" ht="30" customHeight="1" x14ac:dyDescent="0.15"/>
  </sheetData>
  <phoneticPr fontId="8"/>
  <dataValidations count="2">
    <dataValidation type="list" allowBlank="1" showInputMessage="1" showErrorMessage="1" sqref="C2" xr:uid="{09041F6C-E390-4222-B0DD-724D5673145D}">
      <formula1>#REF!</formula1>
    </dataValidation>
    <dataValidation type="list" allowBlank="1" showInputMessage="1" showErrorMessage="1" sqref="D2:E2 B2" xr:uid="{6E2BDB26-21FE-4473-8BA0-EB277F925CAC}">
      <formula1>#REF!</formula1>
    </dataValidation>
  </dataValidations>
  <pageMargins left="0.7" right="0.7" top="0.75" bottom="0.75" header="0.3" footer="0.3"/>
  <pageSetup paperSize="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4</vt:i4>
      </vt:variant>
    </vt:vector>
  </HeadingPairs>
  <TitlesOfParts>
    <vt:vector size="7" baseType="lpstr">
      <vt:lpstr>表紙</vt:lpstr>
      <vt:lpstr>内訳書</vt:lpstr>
      <vt:lpstr>マスタ</vt:lpstr>
      <vt:lpstr>表紙!_msoanchor_1</vt:lpstr>
      <vt:lpstr>表紙!_msocom_1</vt:lpstr>
      <vt:lpstr>内訳書!Print_Area</vt:lpstr>
      <vt:lpstr>表紙!Print_Area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カーペット 東京</dc:creator>
  <cp:lastModifiedBy>カーペット 東京</cp:lastModifiedBy>
  <cp:lastPrinted>2026-10-08T10:23:41Z</cp:lastPrinted>
  <dcterms:created xsi:type="dcterms:W3CDTF">2003-08-28T02:42:14Z</dcterms:created>
  <dcterms:modified xsi:type="dcterms:W3CDTF">2026-10-17T06:54:40Z</dcterms:modified>
</cp:coreProperties>
</file>