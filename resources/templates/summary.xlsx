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0dd8797cc3c1da9c/"/>
    </mc:Choice>
  </mc:AlternateContent>
  <xr:revisionPtr revIDLastSave="400" documentId="8_{F6B2F011-9C55-E542-84C1-4016B9EE189E}" xr6:coauthVersionLast="47" xr6:coauthVersionMax="47" xr10:uidLastSave="{E7220D31-D1DC-4B91-AB66-09FC5B62553C}"/>
  <bookViews>
    <workbookView xWindow="-120" yWindow="-120" windowWidth="29040" windowHeight="15720" xr2:uid="{3FED3C94-5D07-4FC9-9927-EED4C83E9AF2}"/>
  </bookViews>
  <sheets>
    <sheet name="表紙" sheetId="1" r:id="rId1"/>
    <sheet name="内訳書" sheetId="3" r:id="rId2"/>
    <sheet name="マスタ" sheetId="7" r:id="rId3"/>
  </sheets>
  <definedNames>
    <definedName name="_msoanchor_1" localSheetId="1">内訳書!#REF!</definedName>
    <definedName name="_msoanchor_1" localSheetId="0">表紙!$J$7</definedName>
    <definedName name="_msoanchor_2" localSheetId="1">内訳書!#REF!</definedName>
    <definedName name="_msoanchor_2" localSheetId="0">表紙!#REF!</definedName>
    <definedName name="_msocom_1" localSheetId="1">内訳書!#REF!</definedName>
    <definedName name="_msocom_1" localSheetId="0">表紙!$A$36</definedName>
    <definedName name="_xlnm.Print_Area" localSheetId="1">内訳書!$A$1:$L$250</definedName>
    <definedName name="_xlnm.Print_Area" localSheetId="0">表紙!$A$1:$L$36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6" i="3" l="1"/>
  <c r="C201" i="3"/>
  <c r="C176" i="3"/>
  <c r="C151" i="3"/>
  <c r="C126" i="3"/>
  <c r="C101" i="3"/>
  <c r="C76" i="3"/>
  <c r="C51" i="3"/>
  <c r="C26" i="3"/>
  <c r="J229" i="3"/>
  <c r="J228" i="3"/>
  <c r="J204" i="3"/>
  <c r="J203" i="3"/>
  <c r="J179" i="3"/>
  <c r="J178" i="3"/>
  <c r="J154" i="3"/>
  <c r="J153" i="3"/>
  <c r="J129" i="3"/>
  <c r="J128" i="3"/>
  <c r="J104" i="3"/>
  <c r="J103" i="3"/>
  <c r="J79" i="3"/>
  <c r="J78" i="3"/>
  <c r="J54" i="3"/>
  <c r="J53" i="3"/>
  <c r="J29" i="3"/>
  <c r="J28" i="3"/>
  <c r="J50" i="3" s="1"/>
  <c r="C1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199" i="3"/>
  <c r="J198" i="3"/>
  <c r="J197" i="3"/>
  <c r="J196" i="3"/>
  <c r="J195" i="3"/>
  <c r="J194" i="3"/>
  <c r="J193" i="3"/>
  <c r="J192" i="3"/>
  <c r="J191" i="3"/>
  <c r="J190" i="3"/>
  <c r="J189" i="3"/>
  <c r="J188" i="3"/>
  <c r="J187" i="3"/>
  <c r="J186" i="3"/>
  <c r="J185" i="3"/>
  <c r="J184" i="3"/>
  <c r="J183" i="3"/>
  <c r="J182" i="3"/>
  <c r="J181" i="3"/>
  <c r="J180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8" i="1"/>
  <c r="J23" i="1"/>
  <c r="J25" i="1"/>
  <c r="J26" i="1"/>
  <c r="J27" i="1"/>
  <c r="J29" i="1"/>
  <c r="J32" i="1"/>
  <c r="J31" i="1"/>
  <c r="J30" i="1"/>
  <c r="J7" i="1"/>
  <c r="J22" i="1"/>
  <c r="J24" i="1"/>
  <c r="J100" i="3" l="1"/>
  <c r="J250" i="3"/>
  <c r="J75" i="3"/>
  <c r="J225" i="3"/>
  <c r="J200" i="3"/>
  <c r="J175" i="3"/>
  <c r="J150" i="3"/>
  <c r="J125" i="3"/>
  <c r="J33" i="1"/>
  <c r="C12" i="1" s="1"/>
  <c r="J25" i="3"/>
</calcChain>
</file>

<file path=xl/sharedStrings.xml><?xml version="1.0" encoding="utf-8"?>
<sst xmlns="http://schemas.openxmlformats.org/spreadsheetml/2006/main" count="191" uniqueCount="93">
  <si>
    <t>御 見 積 書</t>
  </si>
  <si>
    <t>　　下記の通り御見積致しますので宜しくお願い申し上げます。</t>
  </si>
  <si>
    <t xml:space="preserve">     </t>
  </si>
  <si>
    <t>合 計</t>
  </si>
  <si>
    <t xml:space="preserve">     〒130-0012</t>
  </si>
  <si>
    <t>　　 東京都墨田区太平4-6-6</t>
  </si>
  <si>
    <t>　　　ＴＥＬ03-3625-4169　ＦＡＸ03-3626-2669</t>
  </si>
  <si>
    <t>見積有効期限</t>
  </si>
  <si>
    <t>取 引 条 件</t>
  </si>
  <si>
    <t>別途ご相談の上決定</t>
  </si>
  <si>
    <t>品　　名</t>
  </si>
  <si>
    <t>仕様・規格・寸法</t>
  </si>
  <si>
    <t>数  量</t>
  </si>
  <si>
    <t>単位</t>
  </si>
  <si>
    <t>単　価</t>
  </si>
  <si>
    <t>金額</t>
  </si>
  <si>
    <t>備考</t>
  </si>
  <si>
    <t>　備　考</t>
  </si>
  <si>
    <t>合　　　　計</t>
  </si>
  <si>
    <t>※上記価格には消費税は含まれておりません。</t>
  </si>
  <si>
    <t>東京カーペット加工 株式会社</t>
    <rPh sb="0" eb="2">
      <t>トウキョウ</t>
    </rPh>
    <rPh sb="7" eb="9">
      <t>カコウ</t>
    </rPh>
    <rPh sb="10" eb="14">
      <t>カブシキガイシャ</t>
    </rPh>
    <phoneticPr fontId="8"/>
  </si>
  <si>
    <t>工　事　名</t>
    <rPh sb="0" eb="1">
      <t>コウ</t>
    </rPh>
    <rPh sb="2" eb="3">
      <t>コト</t>
    </rPh>
    <rPh sb="4" eb="5">
      <t>メイ</t>
    </rPh>
    <phoneticPr fontId="8"/>
  </si>
  <si>
    <t>内　訳　明　細　書</t>
    <rPh sb="0" eb="1">
      <t>ウチ</t>
    </rPh>
    <rPh sb="2" eb="3">
      <t>ヤク</t>
    </rPh>
    <rPh sb="4" eb="5">
      <t>メイ</t>
    </rPh>
    <rPh sb="6" eb="7">
      <t>サイ</t>
    </rPh>
    <rPh sb="8" eb="9">
      <t>ショ</t>
    </rPh>
    <phoneticPr fontId="8"/>
  </si>
  <si>
    <t>計</t>
    <rPh sb="0" eb="1">
      <t>ケイ</t>
    </rPh>
    <phoneticPr fontId="8"/>
  </si>
  <si>
    <t xml:space="preserve"> </t>
    <phoneticPr fontId="8"/>
  </si>
  <si>
    <t>御中</t>
    <rPh sb="0" eb="2">
      <t>オンチュウ</t>
    </rPh>
    <phoneticPr fontId="8"/>
  </si>
  <si>
    <t>消防庁認定第12703号</t>
    <rPh sb="0" eb="3">
      <t>ショウボウチョウ</t>
    </rPh>
    <rPh sb="3" eb="5">
      <t>ニンテイ</t>
    </rPh>
    <rPh sb="5" eb="6">
      <t>ダイ</t>
    </rPh>
    <rPh sb="11" eb="12">
      <t>ゴウ</t>
    </rPh>
    <phoneticPr fontId="8"/>
  </si>
  <si>
    <t>単位</t>
    <rPh sb="0" eb="2">
      <t>タンイ</t>
    </rPh>
    <phoneticPr fontId="8"/>
  </si>
  <si>
    <t>仕様1</t>
    <rPh sb="0" eb="2">
      <t>シヨウ</t>
    </rPh>
    <phoneticPr fontId="8"/>
  </si>
  <si>
    <t>仕様2</t>
    <rPh sb="0" eb="2">
      <t>シヨウ</t>
    </rPh>
    <phoneticPr fontId="8"/>
  </si>
  <si>
    <t>仕様3</t>
    <rPh sb="0" eb="2">
      <t>シヨウ</t>
    </rPh>
    <phoneticPr fontId="8"/>
  </si>
  <si>
    <t>エントランス</t>
    <phoneticPr fontId="8"/>
  </si>
  <si>
    <t>㎡</t>
    <phoneticPr fontId="8"/>
  </si>
  <si>
    <t>ｍ</t>
    <phoneticPr fontId="8"/>
  </si>
  <si>
    <t>ヶ所</t>
    <rPh sb="1" eb="2">
      <t>ショ</t>
    </rPh>
    <phoneticPr fontId="8"/>
  </si>
  <si>
    <t>式</t>
    <rPh sb="0" eb="1">
      <t>シキ</t>
    </rPh>
    <phoneticPr fontId="8"/>
  </si>
  <si>
    <t>枚</t>
    <rPh sb="0" eb="1">
      <t>マイ</t>
    </rPh>
    <phoneticPr fontId="8"/>
  </si>
  <si>
    <t>箱</t>
    <rPh sb="0" eb="1">
      <t>ハコ</t>
    </rPh>
    <phoneticPr fontId="8"/>
  </si>
  <si>
    <t>本</t>
    <rPh sb="0" eb="1">
      <t>ホン</t>
    </rPh>
    <phoneticPr fontId="8"/>
  </si>
  <si>
    <t>組</t>
    <rPh sb="0" eb="1">
      <t>クミ</t>
    </rPh>
    <phoneticPr fontId="8"/>
  </si>
  <si>
    <t>台</t>
    <rPh sb="0" eb="1">
      <t>ダイ</t>
    </rPh>
    <phoneticPr fontId="8"/>
  </si>
  <si>
    <t>ヶ</t>
    <phoneticPr fontId="8"/>
  </si>
  <si>
    <t>ケース</t>
    <phoneticPr fontId="8"/>
  </si>
  <si>
    <t>セット</t>
    <phoneticPr fontId="8"/>
  </si>
  <si>
    <t>段</t>
    <rPh sb="0" eb="1">
      <t>ダン</t>
    </rPh>
    <phoneticPr fontId="8"/>
  </si>
  <si>
    <t>窓</t>
    <rPh sb="0" eb="1">
      <t>マド</t>
    </rPh>
    <phoneticPr fontId="8"/>
  </si>
  <si>
    <t>人工</t>
    <rPh sb="0" eb="2">
      <t>ニンク</t>
    </rPh>
    <phoneticPr fontId="8"/>
  </si>
  <si>
    <t>通路</t>
    <rPh sb="0" eb="2">
      <t>ツウロ</t>
    </rPh>
    <phoneticPr fontId="8"/>
  </si>
  <si>
    <t>接客スペース</t>
    <rPh sb="0" eb="2">
      <t>セッキャク</t>
    </rPh>
    <phoneticPr fontId="8"/>
  </si>
  <si>
    <t>接客個室</t>
    <rPh sb="0" eb="4">
      <t>セッキャクコシツ</t>
    </rPh>
    <phoneticPr fontId="8"/>
  </si>
  <si>
    <t>模型室</t>
    <rPh sb="0" eb="3">
      <t>モケイシツ</t>
    </rPh>
    <phoneticPr fontId="8"/>
  </si>
  <si>
    <t>模型・展示スペース</t>
    <rPh sb="0" eb="2">
      <t>モケイ</t>
    </rPh>
    <rPh sb="3" eb="5">
      <t>テンジ</t>
    </rPh>
    <phoneticPr fontId="8"/>
  </si>
  <si>
    <t>展示スペース</t>
    <rPh sb="0" eb="2">
      <t>テンジ</t>
    </rPh>
    <phoneticPr fontId="8"/>
  </si>
  <si>
    <t>事務所・倉庫</t>
    <rPh sb="0" eb="3">
      <t>ジムショ</t>
    </rPh>
    <rPh sb="4" eb="6">
      <t>ソウコ</t>
    </rPh>
    <phoneticPr fontId="8"/>
  </si>
  <si>
    <t>事務所</t>
    <rPh sb="0" eb="2">
      <t>ジム</t>
    </rPh>
    <rPh sb="2" eb="3">
      <t>ショ</t>
    </rPh>
    <phoneticPr fontId="8"/>
  </si>
  <si>
    <t>倉庫</t>
    <rPh sb="0" eb="2">
      <t>ソウコ</t>
    </rPh>
    <phoneticPr fontId="8"/>
  </si>
  <si>
    <t>トイレ</t>
    <phoneticPr fontId="8"/>
  </si>
  <si>
    <t>男子トイレ</t>
    <rPh sb="0" eb="2">
      <t>ダンシ</t>
    </rPh>
    <phoneticPr fontId="8"/>
  </si>
  <si>
    <t>女子トイレ</t>
    <rPh sb="0" eb="2">
      <t>ジョシ</t>
    </rPh>
    <phoneticPr fontId="8"/>
  </si>
  <si>
    <t>天井</t>
    <rPh sb="0" eb="2">
      <t>テンジョウ</t>
    </rPh>
    <phoneticPr fontId="8"/>
  </si>
  <si>
    <t>壁</t>
    <rPh sb="0" eb="1">
      <t>カベ</t>
    </rPh>
    <phoneticPr fontId="8"/>
  </si>
  <si>
    <t>天井・壁</t>
    <rPh sb="0" eb="2">
      <t>テンジョウ</t>
    </rPh>
    <rPh sb="3" eb="4">
      <t>カベ</t>
    </rPh>
    <phoneticPr fontId="8"/>
  </si>
  <si>
    <t>折り上げ天井</t>
    <rPh sb="0" eb="1">
      <t>オ</t>
    </rPh>
    <rPh sb="2" eb="3">
      <t>ア</t>
    </rPh>
    <rPh sb="4" eb="6">
      <t>テンジョウ</t>
    </rPh>
    <phoneticPr fontId="8"/>
  </si>
  <si>
    <t>アクセント壁</t>
    <rPh sb="5" eb="6">
      <t>カベ</t>
    </rPh>
    <phoneticPr fontId="8"/>
  </si>
  <si>
    <t>アクセント天井</t>
    <rPh sb="5" eb="7">
      <t>テンジョウ</t>
    </rPh>
    <phoneticPr fontId="8"/>
  </si>
  <si>
    <t>巾木</t>
    <rPh sb="0" eb="2">
      <t>ハバキ</t>
    </rPh>
    <phoneticPr fontId="8"/>
  </si>
  <si>
    <t>床</t>
    <rPh sb="0" eb="1">
      <t>ユカ</t>
    </rPh>
    <phoneticPr fontId="8"/>
  </si>
  <si>
    <t>折り下げ天井</t>
    <rPh sb="0" eb="1">
      <t>オ</t>
    </rPh>
    <rPh sb="2" eb="3">
      <t>サ</t>
    </rPh>
    <rPh sb="4" eb="6">
      <t>テンジョウ</t>
    </rPh>
    <phoneticPr fontId="8"/>
  </si>
  <si>
    <t>アクセント柱</t>
    <rPh sb="5" eb="6">
      <t>ハシラ</t>
    </rPh>
    <phoneticPr fontId="8"/>
  </si>
  <si>
    <t>柱</t>
    <rPh sb="0" eb="1">
      <t>ハシラ</t>
    </rPh>
    <phoneticPr fontId="8"/>
  </si>
  <si>
    <t>サンゲツ</t>
    <phoneticPr fontId="8"/>
  </si>
  <si>
    <t>リリカラ</t>
    <phoneticPr fontId="8"/>
  </si>
  <si>
    <t>東リ</t>
    <rPh sb="0" eb="1">
      <t>トウ</t>
    </rPh>
    <phoneticPr fontId="8"/>
  </si>
  <si>
    <t>シンコール</t>
    <phoneticPr fontId="8"/>
  </si>
  <si>
    <t>ルノン</t>
    <phoneticPr fontId="8"/>
  </si>
  <si>
    <t>トキワ</t>
    <phoneticPr fontId="8"/>
  </si>
  <si>
    <t>トミタ</t>
    <phoneticPr fontId="8"/>
  </si>
  <si>
    <t>テシード</t>
    <phoneticPr fontId="8"/>
  </si>
  <si>
    <t>マナトレーディング</t>
    <phoneticPr fontId="8"/>
  </si>
  <si>
    <t>旭興</t>
    <rPh sb="0" eb="2">
      <t>キョッコウ</t>
    </rPh>
    <phoneticPr fontId="8"/>
  </si>
  <si>
    <t>東京都知事許可（般2）第12226号</t>
  </si>
  <si>
    <t>東京カーペット加工㈱　　　１</t>
    <rPh sb="0" eb="2">
      <t>トウキョウ</t>
    </rPh>
    <rPh sb="7" eb="9">
      <t>カコウ</t>
    </rPh>
    <phoneticPr fontId="8"/>
  </si>
  <si>
    <t>東京カーペット加工㈱　　　２</t>
    <rPh sb="0" eb="2">
      <t>トウキョウ</t>
    </rPh>
    <rPh sb="7" eb="9">
      <t>カコウ</t>
    </rPh>
    <phoneticPr fontId="8"/>
  </si>
  <si>
    <t>東京カーペット加工㈱　　　３</t>
    <rPh sb="0" eb="2">
      <t>トウキョウ</t>
    </rPh>
    <rPh sb="7" eb="9">
      <t>カコウ</t>
    </rPh>
    <phoneticPr fontId="8"/>
  </si>
  <si>
    <t>東京カーペット加工㈱　　　４</t>
    <rPh sb="0" eb="2">
      <t>トウキョウ</t>
    </rPh>
    <rPh sb="7" eb="9">
      <t>カコウ</t>
    </rPh>
    <phoneticPr fontId="8"/>
  </si>
  <si>
    <t>東京カーペット加工㈱　　　５</t>
    <rPh sb="0" eb="2">
      <t>トウキョウ</t>
    </rPh>
    <rPh sb="7" eb="9">
      <t>カコウ</t>
    </rPh>
    <phoneticPr fontId="8"/>
  </si>
  <si>
    <t>東京カーペット加工㈱　　　６</t>
    <rPh sb="0" eb="2">
      <t>トウキョウ</t>
    </rPh>
    <rPh sb="7" eb="9">
      <t>カコウ</t>
    </rPh>
    <phoneticPr fontId="8"/>
  </si>
  <si>
    <t>東京カーペット加工㈱　　　７</t>
    <rPh sb="0" eb="2">
      <t>トウキョウ</t>
    </rPh>
    <rPh sb="7" eb="9">
      <t>カコウ</t>
    </rPh>
    <phoneticPr fontId="8"/>
  </si>
  <si>
    <t>東京カーペット加工㈱　　　８</t>
    <rPh sb="0" eb="2">
      <t>トウキョウ</t>
    </rPh>
    <rPh sb="7" eb="9">
      <t>カコウ</t>
    </rPh>
    <phoneticPr fontId="8"/>
  </si>
  <si>
    <t>東京カーペット加工㈱　　　９</t>
    <rPh sb="0" eb="2">
      <t>トウキョウ</t>
    </rPh>
    <rPh sb="7" eb="9">
      <t>カコウ</t>
    </rPh>
    <phoneticPr fontId="8"/>
  </si>
  <si>
    <t>東京カーペット加工㈱　　　１０</t>
    <rPh sb="0" eb="2">
      <t>トウキョウ</t>
    </rPh>
    <rPh sb="7" eb="9">
      <t>カコウ</t>
    </rPh>
    <phoneticPr fontId="8"/>
  </si>
  <si>
    <t>工事概要</t>
    <rPh sb="0" eb="4">
      <t>コウジガイヨウ</t>
    </rPh>
    <phoneticPr fontId="8"/>
  </si>
  <si>
    <t>1ヶ月間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</si>
</sst>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¥&quot;#,##0;[Red]&quot;¥&quot;\-#,##0"/>
    <numFmt numFmtId="176" formatCode="&quot;¥&quot;#,##0_);[Red]\(&quot;¥&quot;#,##0\)"/>
    <numFmt numFmtId="177" formatCode="#,##0_ "/>
    <numFmt numFmtId="178" formatCode="&quot;¥&quot;#,##0.00_);[Red]\(&quot;¥&quot;#,##0.00\)"/>
    <numFmt numFmtId="179" formatCode="#,##0.0_ "/>
    <numFmt numFmtId="180" formatCode="&quot;¥&quot;#,##0_);\(&quot;¥&quot;#,##0\)"/>
    <numFmt numFmtId="181" formatCode="0.0_ "/>
    <numFmt numFmtId="182" formatCode="0_ "/>
  </numFmts>
  <fonts count="24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0"/>
      <name val="ＭＳ 明朝"/>
      <family val="1"/>
      <charset val="128"/>
    </font>
    <font>
      <sz val="10"/>
      <name val="MS Sans Serif"/>
      <family val="2"/>
    </font>
    <font>
      <b/>
      <sz val="28"/>
      <name val="ＭＳ 明朝"/>
      <family val="1"/>
      <charset val="128"/>
    </font>
    <font>
      <sz val="14"/>
      <name val="MS Sans Serif"/>
      <family val="2"/>
    </font>
    <font>
      <u/>
      <sz val="11"/>
      <color indexed="12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HGP明朝B"/>
      <family val="1"/>
      <charset val="128"/>
    </font>
    <font>
      <sz val="16"/>
      <name val="HGP明朝B"/>
      <family val="1"/>
      <charset val="128"/>
    </font>
    <font>
      <sz val="10"/>
      <name val="HGP明朝B"/>
      <family val="1"/>
      <charset val="128"/>
    </font>
    <font>
      <sz val="10"/>
      <name val="HG明朝B"/>
      <family val="1"/>
      <charset val="128"/>
    </font>
    <font>
      <sz val="10.5"/>
      <name val="HG明朝B"/>
      <family val="1"/>
      <charset val="128"/>
    </font>
    <font>
      <sz val="12"/>
      <name val="HG明朝B"/>
      <family val="1"/>
      <charset val="128"/>
    </font>
    <font>
      <b/>
      <sz val="28"/>
      <name val="HG明朝B"/>
      <family val="1"/>
      <charset val="128"/>
    </font>
    <font>
      <sz val="16"/>
      <name val="HG明朝B"/>
      <family val="1"/>
      <charset val="128"/>
    </font>
    <font>
      <u/>
      <sz val="11"/>
      <color indexed="12"/>
      <name val="HG明朝B"/>
      <family val="1"/>
      <charset val="128"/>
    </font>
    <font>
      <sz val="18"/>
      <name val="HG明朝B"/>
      <family val="1"/>
      <charset val="128"/>
    </font>
    <font>
      <b/>
      <sz val="16"/>
      <name val="HG明朝B"/>
      <family val="1"/>
      <charset val="128"/>
    </font>
    <font>
      <sz val="24"/>
      <name val="HG明朝B"/>
      <family val="1"/>
      <charset val="128"/>
    </font>
    <font>
      <sz val="14"/>
      <name val="HG明朝B"/>
      <family val="1"/>
      <charset val="128"/>
    </font>
    <font>
      <sz val="11"/>
      <name val="HG明朝B"/>
      <family val="1"/>
      <charset val="128"/>
    </font>
    <font>
      <sz val="12"/>
      <color indexed="26"/>
      <name val="HG明朝B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hair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hair">
        <color indexed="64"/>
      </right>
      <top style="double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  <xf numFmtId="38" fontId="1" fillId="0" borderId="0" applyFont="0" applyFill="0" applyBorder="0" applyAlignment="0" applyProtection="0">
      <alignment vertical="center"/>
    </xf>
  </cellStyleXfs>
  <cellXfs count="164">
    <xf numFmtId="0" fontId="0" fillId="0" borderId="0" xfId="0">
      <alignment vertical="center"/>
    </xf>
    <xf numFmtId="0" fontId="4" fillId="0" borderId="0" xfId="0" applyFont="1" applyAlignment="1"/>
    <xf numFmtId="0" fontId="5" fillId="0" borderId="0" xfId="0" applyFont="1" applyAlignment="1">
      <alignment horizontal="left" vertical="top"/>
    </xf>
    <xf numFmtId="0" fontId="6" fillId="0" borderId="0" xfId="0" applyFont="1" applyAlignment="1"/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left" vertical="center" shrinkToFit="1"/>
    </xf>
    <xf numFmtId="0" fontId="2" fillId="0" borderId="0" xfId="0" applyFont="1" applyBorder="1" applyAlignment="1">
      <alignment horizontal="center" vertical="center" shrinkToFit="1"/>
    </xf>
    <xf numFmtId="0" fontId="9" fillId="0" borderId="17" xfId="0" applyFont="1" applyBorder="1" applyAlignment="1">
      <alignment horizontal="center" vertical="center"/>
    </xf>
    <xf numFmtId="0" fontId="10" fillId="0" borderId="17" xfId="0" applyFont="1" applyBorder="1" applyAlignment="1">
      <alignment horizontal="left" vertical="center"/>
    </xf>
    <xf numFmtId="0" fontId="10" fillId="0" borderId="17" xfId="0" applyFont="1" applyBorder="1" applyAlignment="1">
      <alignment horizontal="center" vertical="center"/>
    </xf>
    <xf numFmtId="178" fontId="9" fillId="3" borderId="42" xfId="0" applyNumberFormat="1" applyFont="1" applyFill="1" applyBorder="1" applyAlignment="1">
      <alignment horizontal="centerContinuous" vertical="center"/>
    </xf>
    <xf numFmtId="178" fontId="9" fillId="3" borderId="27" xfId="0" applyNumberFormat="1" applyFont="1" applyFill="1" applyBorder="1" applyAlignment="1">
      <alignment horizontal="centerContinuous" vertical="center"/>
    </xf>
    <xf numFmtId="178" fontId="9" fillId="3" borderId="28" xfId="0" applyNumberFormat="1" applyFont="1" applyFill="1" applyBorder="1" applyAlignment="1">
      <alignment horizontal="centerContinuous" vertical="center"/>
    </xf>
    <xf numFmtId="178" fontId="9" fillId="3" borderId="26" xfId="0" applyNumberFormat="1" applyFont="1" applyFill="1" applyBorder="1" applyAlignment="1">
      <alignment horizontal="centerContinuous" vertical="center"/>
    </xf>
    <xf numFmtId="178" fontId="9" fillId="3" borderId="29" xfId="0" applyNumberFormat="1" applyFont="1" applyFill="1" applyBorder="1" applyAlignment="1">
      <alignment horizontal="centerContinuous" vertical="center"/>
    </xf>
    <xf numFmtId="178" fontId="9" fillId="3" borderId="26" xfId="0" applyNumberFormat="1" applyFont="1" applyFill="1" applyBorder="1" applyAlignment="1">
      <alignment horizontal="center" vertical="center"/>
    </xf>
    <xf numFmtId="178" fontId="9" fillId="3" borderId="30" xfId="0" applyNumberFormat="1" applyFont="1" applyFill="1" applyBorder="1" applyAlignment="1">
      <alignment horizontal="center" vertical="center"/>
    </xf>
    <xf numFmtId="0" fontId="9" fillId="3" borderId="30" xfId="0" applyFont="1" applyFill="1" applyBorder="1" applyAlignment="1">
      <alignment horizontal="center" vertical="center"/>
    </xf>
    <xf numFmtId="0" fontId="9" fillId="3" borderId="26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0" borderId="44" xfId="0" applyFont="1" applyBorder="1">
      <alignment vertical="center"/>
    </xf>
    <xf numFmtId="0" fontId="11" fillId="0" borderId="46" xfId="0" applyFont="1" applyBorder="1" applyAlignment="1">
      <alignment horizontal="center" vertical="center"/>
    </xf>
    <xf numFmtId="0" fontId="11" fillId="0" borderId="43" xfId="0" applyFont="1" applyBorder="1" applyAlignment="1">
      <alignment horizontal="left" vertical="center" shrinkToFit="1"/>
    </xf>
    <xf numFmtId="0" fontId="11" fillId="0" borderId="15" xfId="0" applyFont="1" applyBorder="1">
      <alignment vertical="center"/>
    </xf>
    <xf numFmtId="0" fontId="11" fillId="0" borderId="16" xfId="0" applyFont="1" applyBorder="1">
      <alignment vertical="center"/>
    </xf>
    <xf numFmtId="181" fontId="9" fillId="0" borderId="16" xfId="0" applyNumberFormat="1" applyFont="1" applyBorder="1">
      <alignment vertical="center"/>
    </xf>
    <xf numFmtId="0" fontId="9" fillId="0" borderId="31" xfId="0" applyFont="1" applyBorder="1" applyAlignment="1">
      <alignment horizontal="center" vertical="center"/>
    </xf>
    <xf numFmtId="38" fontId="9" fillId="0" borderId="16" xfId="2" applyFont="1" applyBorder="1">
      <alignment vertical="center"/>
    </xf>
    <xf numFmtId="3" fontId="9" fillId="0" borderId="14" xfId="0" applyNumberFormat="1" applyFont="1" applyBorder="1" applyAlignment="1">
      <alignment horizontal="right" vertical="center"/>
    </xf>
    <xf numFmtId="3" fontId="9" fillId="0" borderId="15" xfId="0" applyNumberFormat="1" applyFont="1" applyBorder="1" applyAlignment="1">
      <alignment horizontal="right" vertical="center"/>
    </xf>
    <xf numFmtId="0" fontId="11" fillId="0" borderId="16" xfId="0" applyFont="1" applyBorder="1" applyAlignment="1">
      <alignment vertical="center" shrinkToFit="1"/>
    </xf>
    <xf numFmtId="0" fontId="11" fillId="0" borderId="45" xfId="0" applyFont="1" applyBorder="1" applyAlignment="1">
      <alignment horizontal="center" vertical="center"/>
    </xf>
    <xf numFmtId="0" fontId="11" fillId="0" borderId="21" xfId="0" applyFont="1" applyBorder="1" applyAlignment="1">
      <alignment horizontal="left" vertical="center" shrinkToFit="1"/>
    </xf>
    <xf numFmtId="0" fontId="9" fillId="0" borderId="0" xfId="0" applyFont="1" applyAlignment="1">
      <alignment horizontal="center" vertical="center" shrinkToFit="1"/>
    </xf>
    <xf numFmtId="0" fontId="11" fillId="0" borderId="15" xfId="0" applyFont="1" applyBorder="1" applyAlignment="1">
      <alignment horizontal="left" vertical="center"/>
    </xf>
    <xf numFmtId="182" fontId="11" fillId="0" borderId="15" xfId="0" applyNumberFormat="1" applyFont="1" applyBorder="1" applyAlignment="1">
      <alignment horizontal="left" vertical="center"/>
    </xf>
    <xf numFmtId="0" fontId="11" fillId="0" borderId="15" xfId="0" applyFont="1" applyBorder="1" applyAlignment="1">
      <alignment vertical="center" shrinkToFit="1"/>
    </xf>
    <xf numFmtId="0" fontId="11" fillId="0" borderId="45" xfId="0" applyFont="1" applyBorder="1">
      <alignment vertical="center"/>
    </xf>
    <xf numFmtId="0" fontId="11" fillId="0" borderId="21" xfId="0" applyFont="1" applyBorder="1">
      <alignment vertical="center"/>
    </xf>
    <xf numFmtId="0" fontId="11" fillId="0" borderId="15" xfId="0" applyFont="1" applyBorder="1" applyAlignment="1">
      <alignment horizontal="right" vertical="center"/>
    </xf>
    <xf numFmtId="0" fontId="11" fillId="0" borderId="21" xfId="0" applyFont="1" applyBorder="1" applyAlignment="1">
      <alignment horizontal="left" vertical="center"/>
    </xf>
    <xf numFmtId="181" fontId="9" fillId="0" borderId="15" xfId="0" applyNumberFormat="1" applyFont="1" applyBorder="1">
      <alignment vertical="center"/>
    </xf>
    <xf numFmtId="0" fontId="9" fillId="0" borderId="16" xfId="0" applyFont="1" applyBorder="1" applyAlignment="1">
      <alignment horizontal="center" vertical="center"/>
    </xf>
    <xf numFmtId="0" fontId="12" fillId="0" borderId="1" xfId="0" applyFont="1" applyBorder="1">
      <alignment vertical="center"/>
    </xf>
    <xf numFmtId="0" fontId="13" fillId="0" borderId="2" xfId="0" applyFont="1" applyBorder="1" applyAlignment="1">
      <alignment horizontal="center" vertical="center"/>
    </xf>
    <xf numFmtId="0" fontId="13" fillId="0" borderId="2" xfId="0" applyFont="1" applyBorder="1">
      <alignment vertical="center"/>
    </xf>
    <xf numFmtId="0" fontId="14" fillId="0" borderId="2" xfId="0" applyFont="1" applyBorder="1" applyAlignment="1">
      <alignment horizontal="right"/>
    </xf>
    <xf numFmtId="0" fontId="14" fillId="0" borderId="8" xfId="0" applyFont="1" applyBorder="1" applyAlignment="1" applyProtection="1">
      <alignment horizontal="center"/>
      <protection locked="0"/>
    </xf>
    <xf numFmtId="0" fontId="15" fillId="0" borderId="3" xfId="0" applyFont="1" applyBorder="1" applyAlignment="1">
      <alignment horizontal="center" vertical="top"/>
    </xf>
    <xf numFmtId="0" fontId="15" fillId="0" borderId="0" xfId="0" applyFont="1" applyAlignment="1">
      <alignment horizontal="center" vertical="top"/>
    </xf>
    <xf numFmtId="0" fontId="15" fillId="0" borderId="4" xfId="0" applyFont="1" applyBorder="1" applyAlignment="1">
      <alignment horizontal="center" vertical="top"/>
    </xf>
    <xf numFmtId="0" fontId="12" fillId="0" borderId="3" xfId="0" applyFont="1" applyBorder="1">
      <alignment vertical="center"/>
    </xf>
    <xf numFmtId="0" fontId="16" fillId="0" borderId="0" xfId="0" applyFont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14" fontId="17" fillId="0" borderId="0" xfId="1" applyNumberFormat="1" applyFont="1" applyAlignment="1" applyProtection="1">
      <alignment horizontal="center" vertical="center"/>
    </xf>
    <xf numFmtId="0" fontId="12" fillId="0" borderId="4" xfId="0" applyFont="1" applyBorder="1" applyAlignment="1" applyProtection="1">
      <alignment horizontal="centerContinuous" vertical="center"/>
      <protection locked="0"/>
    </xf>
    <xf numFmtId="0" fontId="16" fillId="0" borderId="7" xfId="0" applyFont="1" applyBorder="1" applyAlignment="1" applyProtection="1">
      <alignment horizontal="center" vertical="center"/>
      <protection locked="0"/>
    </xf>
    <xf numFmtId="0" fontId="16" fillId="0" borderId="7" xfId="0" applyFont="1" applyBorder="1" applyAlignment="1">
      <alignment horizontal="center" vertical="center"/>
    </xf>
    <xf numFmtId="14" fontId="17" fillId="0" borderId="0" xfId="1" applyNumberFormat="1" applyFont="1" applyAlignment="1">
      <alignment horizontal="center" vertical="center"/>
      <protection locked="0"/>
    </xf>
    <xf numFmtId="0" fontId="18" fillId="0" borderId="0" xfId="0" applyFont="1" applyProtection="1">
      <alignment vertical="center"/>
      <protection locked="0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2" fillId="0" borderId="0" xfId="0" applyFont="1">
      <alignment vertical="center"/>
    </xf>
    <xf numFmtId="0" fontId="14" fillId="0" borderId="4" xfId="0" applyFont="1" applyBorder="1">
      <alignment vertical="center"/>
    </xf>
    <xf numFmtId="0" fontId="19" fillId="0" borderId="7" xfId="0" applyFont="1" applyBorder="1" applyAlignment="1">
      <alignment horizontal="center"/>
    </xf>
    <xf numFmtId="176" fontId="19" fillId="0" borderId="7" xfId="0" applyNumberFormat="1" applyFont="1" applyBorder="1" applyAlignment="1">
      <alignment horizontal="center"/>
    </xf>
    <xf numFmtId="177" fontId="14" fillId="0" borderId="0" xfId="0" applyNumberFormat="1" applyFont="1" applyAlignment="1" applyProtection="1">
      <alignment horizontal="left" vertical="center"/>
      <protection locked="0"/>
    </xf>
    <xf numFmtId="0" fontId="14" fillId="0" borderId="0" xfId="0" applyFont="1" applyProtection="1">
      <alignment vertical="center"/>
      <protection locked="0"/>
    </xf>
    <xf numFmtId="177" fontId="20" fillId="0" borderId="0" xfId="0" applyNumberFormat="1" applyFont="1" applyAlignment="1">
      <alignment horizontal="left" vertical="center"/>
    </xf>
    <xf numFmtId="0" fontId="21" fillId="0" borderId="0" xfId="0" applyFont="1">
      <alignment vertical="center"/>
    </xf>
    <xf numFmtId="0" fontId="21" fillId="0" borderId="0" xfId="0" applyFont="1" applyAlignment="1">
      <alignment horizontal="center" vertical="center"/>
    </xf>
    <xf numFmtId="0" fontId="21" fillId="0" borderId="0" xfId="0" applyFont="1" applyAlignment="1"/>
    <xf numFmtId="0" fontId="21" fillId="0" borderId="0" xfId="0" applyFont="1" applyAlignment="1">
      <alignment horizontal="centerContinuous" vertical="center"/>
    </xf>
    <xf numFmtId="0" fontId="13" fillId="0" borderId="31" xfId="0" applyFont="1" applyBorder="1" applyAlignment="1">
      <alignment horizontal="center" vertical="center"/>
    </xf>
    <xf numFmtId="0" fontId="22" fillId="0" borderId="1" xfId="0" applyFont="1" applyBorder="1" applyAlignment="1" applyProtection="1">
      <alignment horizontal="center" vertical="center" shrinkToFit="1"/>
      <protection locked="0"/>
    </xf>
    <xf numFmtId="0" fontId="22" fillId="0" borderId="2" xfId="0" applyFont="1" applyBorder="1" applyAlignment="1" applyProtection="1">
      <alignment horizontal="center" vertical="center" shrinkToFit="1"/>
      <protection locked="0"/>
    </xf>
    <xf numFmtId="0" fontId="22" fillId="0" borderId="8" xfId="0" applyFont="1" applyBorder="1" applyAlignment="1" applyProtection="1">
      <alignment horizontal="center" vertical="center" shrinkToFit="1"/>
      <protection locked="0"/>
    </xf>
    <xf numFmtId="0" fontId="22" fillId="0" borderId="0" xfId="0" applyFont="1">
      <alignment vertical="center"/>
    </xf>
    <xf numFmtId="0" fontId="14" fillId="0" borderId="0" xfId="0" applyFont="1" applyAlignment="1">
      <alignment horizontal="centerContinuous" vertical="center"/>
    </xf>
    <xf numFmtId="0" fontId="13" fillId="0" borderId="37" xfId="0" applyFont="1" applyBorder="1" applyAlignment="1">
      <alignment horizontal="center" vertical="center"/>
    </xf>
    <xf numFmtId="0" fontId="22" fillId="0" borderId="5" xfId="0" applyFont="1" applyBorder="1" applyAlignment="1" applyProtection="1">
      <alignment horizontal="center" vertical="center" shrinkToFit="1"/>
      <protection locked="0"/>
    </xf>
    <xf numFmtId="0" fontId="22" fillId="0" borderId="34" xfId="0" applyFont="1" applyBorder="1" applyAlignment="1" applyProtection="1">
      <alignment horizontal="center" vertical="center" shrinkToFit="1"/>
      <protection locked="0"/>
    </xf>
    <xf numFmtId="0" fontId="22" fillId="0" borderId="35" xfId="0" applyFont="1" applyBorder="1" applyAlignment="1" applyProtection="1">
      <alignment horizontal="center" vertical="center" shrinkToFit="1"/>
      <protection locked="0"/>
    </xf>
    <xf numFmtId="0" fontId="14" fillId="0" borderId="0" xfId="0" applyFont="1" applyAlignment="1">
      <alignment vertical="top"/>
    </xf>
    <xf numFmtId="0" fontId="13" fillId="0" borderId="5" xfId="0" applyFont="1" applyBorder="1" applyAlignment="1">
      <alignment horizontal="center" vertical="center"/>
    </xf>
    <xf numFmtId="14" fontId="14" fillId="0" borderId="38" xfId="0" applyNumberFormat="1" applyFont="1" applyBorder="1" applyAlignment="1" applyProtection="1">
      <alignment horizontal="left" vertical="center" shrinkToFit="1"/>
      <protection locked="0"/>
    </xf>
    <xf numFmtId="14" fontId="14" fillId="0" borderId="39" xfId="0" applyNumberFormat="1" applyFont="1" applyBorder="1" applyAlignment="1" applyProtection="1">
      <alignment horizontal="left" vertical="center" shrinkToFit="1"/>
      <protection locked="0"/>
    </xf>
    <xf numFmtId="14" fontId="14" fillId="0" borderId="40" xfId="0" applyNumberFormat="1" applyFont="1" applyBorder="1" applyAlignment="1" applyProtection="1">
      <alignment horizontal="left" vertical="center" shrinkToFit="1"/>
      <protection locked="0"/>
    </xf>
    <xf numFmtId="0" fontId="12" fillId="0" borderId="0" xfId="0" applyFont="1" applyAlignment="1">
      <alignment vertical="top"/>
    </xf>
    <xf numFmtId="14" fontId="22" fillId="0" borderId="38" xfId="0" applyNumberFormat="1" applyFont="1" applyBorder="1" applyAlignment="1" applyProtection="1">
      <alignment horizontal="left" vertical="center"/>
      <protection locked="0"/>
    </xf>
    <xf numFmtId="14" fontId="22" fillId="0" borderId="39" xfId="0" applyNumberFormat="1" applyFont="1" applyBorder="1" applyAlignment="1" applyProtection="1">
      <alignment horizontal="left" vertical="center"/>
      <protection locked="0"/>
    </xf>
    <xf numFmtId="14" fontId="22" fillId="0" borderId="40" xfId="0" applyNumberFormat="1" applyFont="1" applyBorder="1" applyAlignment="1" applyProtection="1">
      <alignment horizontal="left" vertical="center"/>
      <protection locked="0"/>
    </xf>
    <xf numFmtId="0" fontId="14" fillId="0" borderId="0" xfId="0" applyFont="1" applyAlignment="1">
      <alignment horizontal="center" vertical="top"/>
    </xf>
    <xf numFmtId="0" fontId="22" fillId="0" borderId="4" xfId="0" applyFont="1" applyBorder="1">
      <alignment vertical="center"/>
    </xf>
    <xf numFmtId="0" fontId="22" fillId="0" borderId="6" xfId="0" applyFont="1" applyBorder="1" applyAlignment="1">
      <alignment horizontal="center" vertical="center"/>
    </xf>
    <xf numFmtId="14" fontId="22" fillId="0" borderId="11" xfId="0" applyNumberFormat="1" applyFont="1" applyBorder="1" applyAlignment="1" applyProtection="1">
      <alignment horizontal="left" vertical="center"/>
      <protection locked="0"/>
    </xf>
    <xf numFmtId="0" fontId="14" fillId="0" borderId="10" xfId="0" applyFont="1" applyBorder="1" applyProtection="1">
      <alignment vertical="center"/>
      <protection locked="0"/>
    </xf>
    <xf numFmtId="14" fontId="22" fillId="0" borderId="9" xfId="0" applyNumberFormat="1" applyFont="1" applyBorder="1" applyAlignment="1">
      <alignment horizontal="left" vertical="center"/>
    </xf>
    <xf numFmtId="14" fontId="22" fillId="0" borderId="0" xfId="0" applyNumberFormat="1" applyFont="1" applyAlignment="1">
      <alignment horizontal="left" vertical="center"/>
    </xf>
    <xf numFmtId="14" fontId="22" fillId="0" borderId="0" xfId="0" applyNumberFormat="1" applyFont="1" applyAlignment="1">
      <alignment horizontal="center" vertical="center"/>
    </xf>
    <xf numFmtId="0" fontId="23" fillId="0" borderId="0" xfId="0" applyFont="1">
      <alignment vertical="center"/>
    </xf>
    <xf numFmtId="0" fontId="22" fillId="0" borderId="12" xfId="0" applyFont="1" applyBorder="1" applyAlignment="1">
      <alignment horizontal="center" vertical="center"/>
    </xf>
    <xf numFmtId="178" fontId="22" fillId="3" borderId="26" xfId="0" applyNumberFormat="1" applyFont="1" applyFill="1" applyBorder="1" applyAlignment="1">
      <alignment horizontal="centerContinuous" vertical="center"/>
    </xf>
    <xf numFmtId="178" fontId="22" fillId="3" borderId="27" xfId="0" applyNumberFormat="1" applyFont="1" applyFill="1" applyBorder="1" applyAlignment="1">
      <alignment horizontal="centerContinuous" vertical="center"/>
    </xf>
    <xf numFmtId="178" fontId="22" fillId="3" borderId="28" xfId="0" applyNumberFormat="1" applyFont="1" applyFill="1" applyBorder="1" applyAlignment="1">
      <alignment horizontal="centerContinuous" vertical="center"/>
    </xf>
    <xf numFmtId="178" fontId="22" fillId="3" borderId="29" xfId="0" applyNumberFormat="1" applyFont="1" applyFill="1" applyBorder="1" applyAlignment="1">
      <alignment horizontal="centerContinuous" vertical="center"/>
    </xf>
    <xf numFmtId="178" fontId="22" fillId="3" borderId="26" xfId="0" applyNumberFormat="1" applyFont="1" applyFill="1" applyBorder="1" applyAlignment="1">
      <alignment horizontal="center" vertical="center"/>
    </xf>
    <xf numFmtId="178" fontId="22" fillId="3" borderId="30" xfId="0" applyNumberFormat="1" applyFont="1" applyFill="1" applyBorder="1" applyAlignment="1">
      <alignment horizontal="center" vertical="center"/>
    </xf>
    <xf numFmtId="0" fontId="22" fillId="3" borderId="30" xfId="0" applyFont="1" applyFill="1" applyBorder="1" applyAlignment="1">
      <alignment horizontal="center" vertical="center"/>
    </xf>
    <xf numFmtId="0" fontId="22" fillId="3" borderId="26" xfId="0" applyFont="1" applyFill="1" applyBorder="1" applyAlignment="1">
      <alignment horizontal="center" vertical="center"/>
    </xf>
    <xf numFmtId="0" fontId="22" fillId="3" borderId="33" xfId="0" applyFont="1" applyFill="1" applyBorder="1" applyAlignment="1">
      <alignment horizontal="center" vertical="center"/>
    </xf>
    <xf numFmtId="0" fontId="14" fillId="2" borderId="18" xfId="0" applyFont="1" applyFill="1" applyBorder="1" applyAlignment="1" applyProtection="1">
      <alignment horizontal="center" vertical="center"/>
      <protection locked="0"/>
    </xf>
    <xf numFmtId="0" fontId="12" fillId="2" borderId="24" xfId="0" applyFont="1" applyFill="1" applyBorder="1" applyProtection="1">
      <alignment vertical="center"/>
      <protection locked="0"/>
    </xf>
    <xf numFmtId="0" fontId="12" fillId="2" borderId="19" xfId="0" applyFont="1" applyFill="1" applyBorder="1" applyProtection="1">
      <alignment vertical="center"/>
      <protection locked="0"/>
    </xf>
    <xf numFmtId="179" fontId="22" fillId="2" borderId="24" xfId="0" applyNumberFormat="1" applyFont="1" applyFill="1" applyBorder="1" applyProtection="1">
      <alignment vertical="center"/>
      <protection locked="0"/>
    </xf>
    <xf numFmtId="179" fontId="22" fillId="2" borderId="19" xfId="0" applyNumberFormat="1" applyFont="1" applyFill="1" applyBorder="1" applyProtection="1">
      <alignment vertical="center"/>
      <protection locked="0"/>
    </xf>
    <xf numFmtId="0" fontId="22" fillId="2" borderId="16" xfId="0" applyFont="1" applyFill="1" applyBorder="1" applyAlignment="1">
      <alignment horizontal="center" vertical="center"/>
    </xf>
    <xf numFmtId="177" fontId="22" fillId="2" borderId="20" xfId="0" applyNumberFormat="1" applyFont="1" applyFill="1" applyBorder="1" applyAlignment="1" applyProtection="1">
      <alignment horizontal="right" vertical="center"/>
      <protection locked="0"/>
    </xf>
    <xf numFmtId="3" fontId="22" fillId="2" borderId="6" xfId="0" applyNumberFormat="1" applyFont="1" applyFill="1" applyBorder="1" applyAlignment="1" applyProtection="1">
      <alignment horizontal="right" vertical="center"/>
      <protection locked="0"/>
    </xf>
    <xf numFmtId="3" fontId="22" fillId="2" borderId="23" xfId="0" applyNumberFormat="1" applyFont="1" applyFill="1" applyBorder="1" applyAlignment="1" applyProtection="1">
      <alignment horizontal="right" vertical="center"/>
      <protection locked="0"/>
    </xf>
    <xf numFmtId="37" fontId="22" fillId="2" borderId="12" xfId="0" applyNumberFormat="1" applyFont="1" applyFill="1" applyBorder="1" applyAlignment="1">
      <alignment horizontal="left" vertical="center"/>
    </xf>
    <xf numFmtId="3" fontId="22" fillId="2" borderId="14" xfId="0" applyNumberFormat="1" applyFont="1" applyFill="1" applyBorder="1" applyAlignment="1" applyProtection="1">
      <alignment horizontal="right" vertical="center"/>
      <protection locked="0"/>
    </xf>
    <xf numFmtId="3" fontId="22" fillId="2" borderId="19" xfId="0" applyNumberFormat="1" applyFont="1" applyFill="1" applyBorder="1" applyAlignment="1" applyProtection="1">
      <alignment horizontal="right" vertical="center"/>
      <protection locked="0"/>
    </xf>
    <xf numFmtId="0" fontId="22" fillId="2" borderId="25" xfId="0" applyFont="1" applyFill="1" applyBorder="1" applyAlignment="1" applyProtection="1">
      <alignment vertical="center" shrinkToFit="1"/>
      <protection locked="0"/>
    </xf>
    <xf numFmtId="0" fontId="22" fillId="2" borderId="23" xfId="0" applyFont="1" applyFill="1" applyBorder="1" applyProtection="1">
      <alignment vertical="center"/>
      <protection locked="0"/>
    </xf>
    <xf numFmtId="179" fontId="22" fillId="2" borderId="21" xfId="0" applyNumberFormat="1" applyFont="1" applyFill="1" applyBorder="1" applyProtection="1">
      <alignment vertical="center"/>
      <protection locked="0"/>
    </xf>
    <xf numFmtId="179" fontId="22" fillId="2" borderId="22" xfId="0" applyNumberFormat="1" applyFont="1" applyFill="1" applyBorder="1" applyProtection="1">
      <alignment vertical="center"/>
      <protection locked="0"/>
    </xf>
    <xf numFmtId="37" fontId="14" fillId="2" borderId="12" xfId="0" applyNumberFormat="1" applyFont="1" applyFill="1" applyBorder="1" applyAlignment="1">
      <alignment horizontal="left" vertical="center"/>
    </xf>
    <xf numFmtId="180" fontId="14" fillId="2" borderId="12" xfId="0" applyNumberFormat="1" applyFont="1" applyFill="1" applyBorder="1">
      <alignment vertical="center"/>
    </xf>
    <xf numFmtId="0" fontId="22" fillId="0" borderId="1" xfId="0" applyFont="1" applyBorder="1">
      <alignment vertical="center"/>
    </xf>
    <xf numFmtId="0" fontId="22" fillId="0" borderId="2" xfId="0" applyFont="1" applyBorder="1">
      <alignment vertical="center"/>
    </xf>
    <xf numFmtId="0" fontId="22" fillId="0" borderId="0" xfId="0" applyFont="1" applyProtection="1">
      <alignment vertical="center"/>
      <protection locked="0"/>
    </xf>
    <xf numFmtId="0" fontId="22" fillId="0" borderId="8" xfId="0" applyFont="1" applyBorder="1" applyProtection="1">
      <alignment vertical="center"/>
      <protection locked="0"/>
    </xf>
    <xf numFmtId="0" fontId="22" fillId="0" borderId="14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6" fontId="22" fillId="0" borderId="14" xfId="0" applyNumberFormat="1" applyFont="1" applyBorder="1" applyAlignment="1">
      <alignment horizontal="right" vertical="center"/>
    </xf>
    <xf numFmtId="6" fontId="22" fillId="0" borderId="19" xfId="0" applyNumberFormat="1" applyFont="1" applyBorder="1" applyAlignment="1">
      <alignment horizontal="right" vertical="center"/>
    </xf>
    <xf numFmtId="0" fontId="14" fillId="0" borderId="13" xfId="0" applyFont="1" applyBorder="1">
      <alignment vertical="center"/>
    </xf>
    <xf numFmtId="0" fontId="22" fillId="0" borderId="3" xfId="0" applyFont="1" applyBorder="1" applyProtection="1">
      <alignment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22" fillId="0" borderId="8" xfId="0" applyFont="1" applyBorder="1">
      <alignment vertical="center"/>
    </xf>
    <xf numFmtId="0" fontId="22" fillId="0" borderId="6" xfId="0" applyFont="1" applyBorder="1" applyProtection="1">
      <alignment vertical="center"/>
      <protection locked="0"/>
    </xf>
    <xf numFmtId="0" fontId="22" fillId="0" borderId="7" xfId="0" applyFont="1" applyBorder="1" applyProtection="1">
      <alignment vertical="center"/>
      <protection locked="0"/>
    </xf>
    <xf numFmtId="0" fontId="14" fillId="0" borderId="7" xfId="0" applyFont="1" applyBorder="1" applyProtection="1">
      <alignment vertical="center"/>
      <protection locked="0"/>
    </xf>
    <xf numFmtId="0" fontId="14" fillId="0" borderId="7" xfId="0" applyFont="1" applyBorder="1" applyAlignment="1" applyProtection="1">
      <alignment horizontal="center" vertical="center"/>
      <protection locked="0"/>
    </xf>
    <xf numFmtId="0" fontId="22" fillId="0" borderId="7" xfId="0" applyFont="1" applyBorder="1">
      <alignment vertical="center"/>
    </xf>
    <xf numFmtId="0" fontId="22" fillId="0" borderId="12" xfId="0" applyFont="1" applyBorder="1">
      <alignment vertical="center"/>
    </xf>
    <xf numFmtId="0" fontId="17" fillId="0" borderId="0" xfId="1" applyFont="1" applyAlignment="1" applyProtection="1">
      <alignment horizontal="left" vertical="center"/>
    </xf>
    <xf numFmtId="0" fontId="22" fillId="0" borderId="0" xfId="0" applyFont="1" applyAlignment="1">
      <alignment horizontal="center" vertical="center"/>
    </xf>
    <xf numFmtId="0" fontId="9" fillId="0" borderId="17" xfId="0" applyFont="1" applyBorder="1" applyAlignment="1" applyProtection="1">
      <alignment horizontal="center" vertical="center" shrinkToFit="1"/>
    </xf>
    <xf numFmtId="0" fontId="0" fillId="0" borderId="0" xfId="0" applyBorder="1">
      <alignment vertical="center"/>
    </xf>
    <xf numFmtId="0" fontId="3" fillId="0" borderId="0" xfId="0" applyFont="1" applyBorder="1" applyAlignment="1">
      <alignment horizontal="center" vertical="center" shrinkToFit="1"/>
    </xf>
    <xf numFmtId="0" fontId="3" fillId="0" borderId="0" xfId="0" applyFont="1" applyBorder="1" applyAlignment="1">
      <alignment horizontal="left" vertical="center" shrinkToFit="1"/>
    </xf>
    <xf numFmtId="0" fontId="22" fillId="2" borderId="32" xfId="0" applyFont="1" applyFill="1" applyBorder="1" applyAlignment="1" applyProtection="1">
      <alignment vertical="center" shrinkToFit="1"/>
      <protection locked="0"/>
    </xf>
    <xf numFmtId="0" fontId="22" fillId="2" borderId="36" xfId="0" applyFont="1" applyFill="1" applyBorder="1" applyAlignment="1" applyProtection="1">
      <alignment vertical="center" shrinkToFit="1"/>
      <protection locked="0"/>
    </xf>
    <xf numFmtId="0" fontId="11" fillId="0" borderId="12" xfId="0" applyFont="1" applyBorder="1" applyAlignment="1">
      <alignment horizontal="left" vertical="center" shrinkToFit="1"/>
    </xf>
    <xf numFmtId="181" fontId="9" fillId="0" borderId="41" xfId="0" applyNumberFormat="1" applyFont="1" applyBorder="1">
      <alignment vertical="center"/>
    </xf>
    <xf numFmtId="181" fontId="9" fillId="0" borderId="14" xfId="0" applyNumberFormat="1" applyFont="1" applyBorder="1">
      <alignment vertical="center"/>
    </xf>
  </cellXfs>
  <cellStyles count="3">
    <cellStyle name="ハイパーリンク" xfId="1" builtinId="8"/>
    <cellStyle name="桁区切り" xfId="2" builtinId="6"/>
    <cellStyle name="標準" xfId="0" builtinId="0"/>
  </cellStyles>
  <dxfs count="1">
    <dxf>
      <numFmt numFmtId="183" formatCode="&quot;令和元年&quot;m&quot;月&quot;d&quot;日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</xdr:col>
      <xdr:colOff>428625</xdr:colOff>
      <xdr:row>4</xdr:row>
      <xdr:rowOff>9525</xdr:rowOff>
    </xdr:to>
    <xdr:sp macro="" textlink="">
      <xdr:nvSpPr>
        <xdr:cNvPr id="1025" name="AutoShape 1" descr="クリア">
          <a:extLst>
            <a:ext uri="{FF2B5EF4-FFF2-40B4-BE49-F238E27FC236}">
              <a16:creationId xmlns:a16="http://schemas.microsoft.com/office/drawing/2014/main" id="{094A16BE-D831-5DED-8A08-09567FD33EA5}"/>
            </a:ext>
          </a:extLst>
        </xdr:cNvPr>
        <xdr:cNvSpPr>
          <a:spLocks noChangeAspect="1" noChangeArrowheads="1"/>
        </xdr:cNvSpPr>
      </xdr:nvSpPr>
      <xdr:spPr bwMode="auto">
        <a:xfrm>
          <a:off x="314325" y="685800"/>
          <a:ext cx="4286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438150</xdr:colOff>
      <xdr:row>4</xdr:row>
      <xdr:rowOff>0</xdr:rowOff>
    </xdr:from>
    <xdr:to>
      <xdr:col>1</xdr:col>
      <xdr:colOff>971550</xdr:colOff>
      <xdr:row>4</xdr:row>
      <xdr:rowOff>9525</xdr:rowOff>
    </xdr:to>
    <xdr:sp macro="" textlink="">
      <xdr:nvSpPr>
        <xdr:cNvPr id="1026" name="AutoShape 2" descr="見積書&#10;税あり">
          <a:extLst>
            <a:ext uri="{FF2B5EF4-FFF2-40B4-BE49-F238E27FC236}">
              <a16:creationId xmlns:a16="http://schemas.microsoft.com/office/drawing/2014/main" id="{2140DCF1-8B48-4C59-B0E0-5E25EB0E2684}"/>
            </a:ext>
          </a:extLst>
        </xdr:cNvPr>
        <xdr:cNvSpPr>
          <a:spLocks noChangeAspect="1" noChangeArrowheads="1"/>
        </xdr:cNvSpPr>
      </xdr:nvSpPr>
      <xdr:spPr bwMode="auto">
        <a:xfrm>
          <a:off x="752475" y="68580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295275</xdr:colOff>
      <xdr:row>4</xdr:row>
      <xdr:rowOff>0</xdr:rowOff>
    </xdr:from>
    <xdr:to>
      <xdr:col>3</xdr:col>
      <xdr:colOff>180975</xdr:colOff>
      <xdr:row>4</xdr:row>
      <xdr:rowOff>9525</xdr:rowOff>
    </xdr:to>
    <xdr:sp macro="" textlink="">
      <xdr:nvSpPr>
        <xdr:cNvPr id="1027" name="AutoShape 3" descr="内訳&#10;１ページ">
          <a:extLst>
            <a:ext uri="{FF2B5EF4-FFF2-40B4-BE49-F238E27FC236}">
              <a16:creationId xmlns:a16="http://schemas.microsoft.com/office/drawing/2014/main" id="{6A5AFBCB-752A-D0DA-3871-A8535963B08F}"/>
            </a:ext>
          </a:extLst>
        </xdr:cNvPr>
        <xdr:cNvSpPr>
          <a:spLocks noChangeAspect="1" noChangeArrowheads="1"/>
        </xdr:cNvSpPr>
      </xdr:nvSpPr>
      <xdr:spPr bwMode="auto">
        <a:xfrm>
          <a:off x="2419350" y="68580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3</xdr:col>
      <xdr:colOff>142875</xdr:colOff>
      <xdr:row>4</xdr:row>
      <xdr:rowOff>0</xdr:rowOff>
    </xdr:from>
    <xdr:to>
      <xdr:col>3</xdr:col>
      <xdr:colOff>666750</xdr:colOff>
      <xdr:row>4</xdr:row>
      <xdr:rowOff>9525</xdr:rowOff>
    </xdr:to>
    <xdr:sp macro="" textlink="">
      <xdr:nvSpPr>
        <xdr:cNvPr id="1028" name="AutoShape 4" descr="内訳&#10;２ページ">
          <a:extLst>
            <a:ext uri="{FF2B5EF4-FFF2-40B4-BE49-F238E27FC236}">
              <a16:creationId xmlns:a16="http://schemas.microsoft.com/office/drawing/2014/main" id="{9DA11326-B98D-8783-F58F-08AE2C25A4A8}"/>
            </a:ext>
          </a:extLst>
        </xdr:cNvPr>
        <xdr:cNvSpPr>
          <a:spLocks noChangeAspect="1" noChangeArrowheads="1"/>
        </xdr:cNvSpPr>
      </xdr:nvSpPr>
      <xdr:spPr bwMode="auto">
        <a:xfrm>
          <a:off x="2905125" y="68580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3</xdr:col>
      <xdr:colOff>66675</xdr:colOff>
      <xdr:row>4</xdr:row>
      <xdr:rowOff>0</xdr:rowOff>
    </xdr:from>
    <xdr:to>
      <xdr:col>3</xdr:col>
      <xdr:colOff>581025</xdr:colOff>
      <xdr:row>4</xdr:row>
      <xdr:rowOff>9525</xdr:rowOff>
    </xdr:to>
    <xdr:sp macro="" textlink="">
      <xdr:nvSpPr>
        <xdr:cNvPr id="1029" name="AutoShape 5" descr="内訳&#10;４ページ">
          <a:extLst>
            <a:ext uri="{FF2B5EF4-FFF2-40B4-BE49-F238E27FC236}">
              <a16:creationId xmlns:a16="http://schemas.microsoft.com/office/drawing/2014/main" id="{ED4174D7-49AC-B4D1-7CF8-4B8F65CA721A}"/>
            </a:ext>
          </a:extLst>
        </xdr:cNvPr>
        <xdr:cNvSpPr>
          <a:spLocks noChangeAspect="1" noChangeArrowheads="1"/>
        </xdr:cNvSpPr>
      </xdr:nvSpPr>
      <xdr:spPr bwMode="auto">
        <a:xfrm>
          <a:off x="2828925" y="68580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514350</xdr:colOff>
      <xdr:row>4</xdr:row>
      <xdr:rowOff>0</xdr:rowOff>
    </xdr:from>
    <xdr:to>
      <xdr:col>4</xdr:col>
      <xdr:colOff>1028700</xdr:colOff>
      <xdr:row>4</xdr:row>
      <xdr:rowOff>9525</xdr:rowOff>
    </xdr:to>
    <xdr:sp macro="" textlink="">
      <xdr:nvSpPr>
        <xdr:cNvPr id="1030" name="AutoShape 6" descr="内訳&#10;３ページ">
          <a:extLst>
            <a:ext uri="{FF2B5EF4-FFF2-40B4-BE49-F238E27FC236}">
              <a16:creationId xmlns:a16="http://schemas.microsoft.com/office/drawing/2014/main" id="{7CC49865-1B29-7D74-658F-7FFC8764B7A7}"/>
            </a:ext>
          </a:extLst>
        </xdr:cNvPr>
        <xdr:cNvSpPr>
          <a:spLocks noChangeAspect="1" noChangeArrowheads="1"/>
        </xdr:cNvSpPr>
      </xdr:nvSpPr>
      <xdr:spPr bwMode="auto">
        <a:xfrm>
          <a:off x="4086225" y="68580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5</xdr:col>
      <xdr:colOff>-257175</xdr:colOff>
      <xdr:row>4</xdr:row>
      <xdr:rowOff>0</xdr:rowOff>
    </xdr:from>
    <xdr:to>
      <xdr:col>6</xdr:col>
      <xdr:colOff>514350</xdr:colOff>
      <xdr:row>4</xdr:row>
      <xdr:rowOff>9525</xdr:rowOff>
    </xdr:to>
    <xdr:sp macro="" textlink="">
      <xdr:nvSpPr>
        <xdr:cNvPr id="1031" name="AutoShape 7" descr="内訳&#10;５ページ">
          <a:extLst>
            <a:ext uri="{FF2B5EF4-FFF2-40B4-BE49-F238E27FC236}">
              <a16:creationId xmlns:a16="http://schemas.microsoft.com/office/drawing/2014/main" id="{7F64263A-8F49-B48B-1C5B-38F2880E2350}"/>
            </a:ext>
          </a:extLst>
        </xdr:cNvPr>
        <xdr:cNvSpPr>
          <a:spLocks noChangeAspect="1" noChangeArrowheads="1"/>
        </xdr:cNvSpPr>
      </xdr:nvSpPr>
      <xdr:spPr bwMode="auto">
        <a:xfrm>
          <a:off x="5162550" y="685800"/>
          <a:ext cx="7715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6</xdr:col>
      <xdr:colOff>190500</xdr:colOff>
      <xdr:row>4</xdr:row>
      <xdr:rowOff>0</xdr:rowOff>
    </xdr:from>
    <xdr:to>
      <xdr:col>7</xdr:col>
      <xdr:colOff>0</xdr:colOff>
      <xdr:row>4</xdr:row>
      <xdr:rowOff>9525</xdr:rowOff>
    </xdr:to>
    <xdr:sp macro="" textlink="">
      <xdr:nvSpPr>
        <xdr:cNvPr id="1032" name="AutoShape 8" descr="内訳&#10;６ページ">
          <a:extLst>
            <a:ext uri="{FF2B5EF4-FFF2-40B4-BE49-F238E27FC236}">
              <a16:creationId xmlns:a16="http://schemas.microsoft.com/office/drawing/2014/main" id="{D14DB765-B27E-98D8-5069-FC87BB3CF3FE}"/>
            </a:ext>
          </a:extLst>
        </xdr:cNvPr>
        <xdr:cNvSpPr>
          <a:spLocks noChangeAspect="1" noChangeArrowheads="1"/>
        </xdr:cNvSpPr>
      </xdr:nvSpPr>
      <xdr:spPr bwMode="auto">
        <a:xfrm>
          <a:off x="5610225" y="685800"/>
          <a:ext cx="5619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28575</xdr:colOff>
      <xdr:row>4</xdr:row>
      <xdr:rowOff>0</xdr:rowOff>
    </xdr:from>
    <xdr:to>
      <xdr:col>8</xdr:col>
      <xdr:colOff>76200</xdr:colOff>
      <xdr:row>4</xdr:row>
      <xdr:rowOff>9525</xdr:rowOff>
    </xdr:to>
    <xdr:sp macro="" textlink="">
      <xdr:nvSpPr>
        <xdr:cNvPr id="1033" name="AutoShape 9" descr="見積書&#10;税なし">
          <a:extLst>
            <a:ext uri="{FF2B5EF4-FFF2-40B4-BE49-F238E27FC236}">
              <a16:creationId xmlns:a16="http://schemas.microsoft.com/office/drawing/2014/main" id="{288E3F2F-C163-F406-46B7-4646D07AC0B5}"/>
            </a:ext>
          </a:extLst>
        </xdr:cNvPr>
        <xdr:cNvSpPr>
          <a:spLocks noChangeAspect="1" noChangeArrowheads="1"/>
        </xdr:cNvSpPr>
      </xdr:nvSpPr>
      <xdr:spPr bwMode="auto">
        <a:xfrm>
          <a:off x="6200775" y="68580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12</xdr:col>
      <xdr:colOff>0</xdr:colOff>
      <xdr:row>4</xdr:row>
      <xdr:rowOff>0</xdr:rowOff>
    </xdr:from>
    <xdr:to>
      <xdr:col>13</xdr:col>
      <xdr:colOff>190500</xdr:colOff>
      <xdr:row>4</xdr:row>
      <xdr:rowOff>9525</xdr:rowOff>
    </xdr:to>
    <xdr:sp macro="" textlink="">
      <xdr:nvSpPr>
        <xdr:cNvPr id="1035" name="AutoShape 11" descr="画面制御">
          <a:extLst>
            <a:ext uri="{FF2B5EF4-FFF2-40B4-BE49-F238E27FC236}">
              <a16:creationId xmlns:a16="http://schemas.microsoft.com/office/drawing/2014/main" id="{B8B1615A-2832-9EC5-9218-ACC953C0F711}"/>
            </a:ext>
          </a:extLst>
        </xdr:cNvPr>
        <xdr:cNvSpPr>
          <a:spLocks noChangeAspect="1" noChangeArrowheads="1"/>
        </xdr:cNvSpPr>
      </xdr:nvSpPr>
      <xdr:spPr bwMode="auto">
        <a:xfrm>
          <a:off x="10563225" y="685800"/>
          <a:ext cx="8763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876300</xdr:colOff>
      <xdr:row>4</xdr:row>
      <xdr:rowOff>38100</xdr:rowOff>
    </xdr:to>
    <xdr:sp macro="" textlink="">
      <xdr:nvSpPr>
        <xdr:cNvPr id="1036" name="AutoShape 12" descr="image012">
          <a:extLst>
            <a:ext uri="{FF2B5EF4-FFF2-40B4-BE49-F238E27FC236}">
              <a16:creationId xmlns:a16="http://schemas.microsoft.com/office/drawing/2014/main" id="{BED81CCB-F2E3-8F48-35C1-388AACDEF763}"/>
            </a:ext>
          </a:extLst>
        </xdr:cNvPr>
        <xdr:cNvSpPr>
          <a:spLocks noChangeAspect="1" noChangeArrowheads="1"/>
        </xdr:cNvSpPr>
      </xdr:nvSpPr>
      <xdr:spPr bwMode="auto">
        <a:xfrm>
          <a:off x="314325" y="685800"/>
          <a:ext cx="876300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12</xdr:col>
      <xdr:colOff>0</xdr:colOff>
      <xdr:row>4</xdr:row>
      <xdr:rowOff>0</xdr:rowOff>
    </xdr:from>
    <xdr:to>
      <xdr:col>13</xdr:col>
      <xdr:colOff>304800</xdr:colOff>
      <xdr:row>4</xdr:row>
      <xdr:rowOff>9525</xdr:rowOff>
    </xdr:to>
    <xdr:sp macro="" textlink="">
      <xdr:nvSpPr>
        <xdr:cNvPr id="1037" name="AutoShape 13" descr="入力説明">
          <a:extLst>
            <a:ext uri="{FF2B5EF4-FFF2-40B4-BE49-F238E27FC236}">
              <a16:creationId xmlns:a16="http://schemas.microsoft.com/office/drawing/2014/main" id="{D9AA9A3A-3BB7-8F66-B389-A2DE096C4C72}"/>
            </a:ext>
          </a:extLst>
        </xdr:cNvPr>
        <xdr:cNvSpPr>
          <a:spLocks noChangeAspect="1" noChangeArrowheads="1"/>
        </xdr:cNvSpPr>
      </xdr:nvSpPr>
      <xdr:spPr bwMode="auto">
        <a:xfrm>
          <a:off x="10563225" y="685800"/>
          <a:ext cx="9906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12</xdr:col>
      <xdr:colOff>0</xdr:colOff>
      <xdr:row>4</xdr:row>
      <xdr:rowOff>0</xdr:rowOff>
    </xdr:from>
    <xdr:to>
      <xdr:col>13</xdr:col>
      <xdr:colOff>352425</xdr:colOff>
      <xdr:row>4</xdr:row>
      <xdr:rowOff>9525</xdr:rowOff>
    </xdr:to>
    <xdr:sp macro="" textlink="">
      <xdr:nvSpPr>
        <xdr:cNvPr id="1038" name="AutoShape 14" descr="画面解除">
          <a:extLst>
            <a:ext uri="{FF2B5EF4-FFF2-40B4-BE49-F238E27FC236}">
              <a16:creationId xmlns:a16="http://schemas.microsoft.com/office/drawing/2014/main" id="{35845E16-FE23-A0B8-CF86-B2B4D4E60728}"/>
            </a:ext>
          </a:extLst>
        </xdr:cNvPr>
        <xdr:cNvSpPr>
          <a:spLocks noChangeAspect="1" noChangeArrowheads="1"/>
        </xdr:cNvSpPr>
      </xdr:nvSpPr>
      <xdr:spPr bwMode="auto">
        <a:xfrm>
          <a:off x="10563225" y="685800"/>
          <a:ext cx="10382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15</xdr:col>
      <xdr:colOff>552450</xdr:colOff>
      <xdr:row>16</xdr:row>
      <xdr:rowOff>66675</xdr:rowOff>
    </xdr:from>
    <xdr:to>
      <xdr:col>17</xdr:col>
      <xdr:colOff>0</xdr:colOff>
      <xdr:row>16</xdr:row>
      <xdr:rowOff>76200</xdr:rowOff>
    </xdr:to>
    <xdr:sp macro="" textlink="">
      <xdr:nvSpPr>
        <xdr:cNvPr id="1039" name="AutoShape 15" descr="データー&#10;クリア">
          <a:extLst>
            <a:ext uri="{FF2B5EF4-FFF2-40B4-BE49-F238E27FC236}">
              <a16:creationId xmlns:a16="http://schemas.microsoft.com/office/drawing/2014/main" id="{0B6564D1-BC4D-1623-B5E3-93315DB79112}"/>
            </a:ext>
          </a:extLst>
        </xdr:cNvPr>
        <xdr:cNvSpPr>
          <a:spLocks noChangeAspect="1" noChangeArrowheads="1"/>
        </xdr:cNvSpPr>
      </xdr:nvSpPr>
      <xdr:spPr bwMode="auto">
        <a:xfrm>
          <a:off x="13173075" y="3257550"/>
          <a:ext cx="8191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1295400</xdr:colOff>
      <xdr:row>4</xdr:row>
      <xdr:rowOff>28575</xdr:rowOff>
    </xdr:to>
    <xdr:sp macro="" textlink="">
      <xdr:nvSpPr>
        <xdr:cNvPr id="1040" name="AutoShape 16" descr="image016">
          <a:extLst>
            <a:ext uri="{FF2B5EF4-FFF2-40B4-BE49-F238E27FC236}">
              <a16:creationId xmlns:a16="http://schemas.microsoft.com/office/drawing/2014/main" id="{D89E7640-D63E-C657-8E2E-A7465A9C733C}"/>
            </a:ext>
          </a:extLst>
        </xdr:cNvPr>
        <xdr:cNvSpPr>
          <a:spLocks noChangeAspect="1" noChangeArrowheads="1"/>
        </xdr:cNvSpPr>
      </xdr:nvSpPr>
      <xdr:spPr bwMode="auto">
        <a:xfrm>
          <a:off x="314325" y="685800"/>
          <a:ext cx="1295400" cy="285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838200</xdr:colOff>
      <xdr:row>15</xdr:row>
      <xdr:rowOff>66675</xdr:rowOff>
    </xdr:to>
    <xdr:sp macro="" textlink="">
      <xdr:nvSpPr>
        <xdr:cNvPr id="1044" name="AutoShape 20" descr="テキスト ボックス: 工  事  名">
          <a:extLst>
            <a:ext uri="{FF2B5EF4-FFF2-40B4-BE49-F238E27FC236}">
              <a16:creationId xmlns:a16="http://schemas.microsoft.com/office/drawing/2014/main" id="{BD526B4E-32C2-102B-1E2A-C282B30AFB30}"/>
            </a:ext>
          </a:extLst>
        </xdr:cNvPr>
        <xdr:cNvSpPr>
          <a:spLocks noChangeAspect="1" noChangeArrowheads="1"/>
        </xdr:cNvSpPr>
      </xdr:nvSpPr>
      <xdr:spPr bwMode="auto">
        <a:xfrm>
          <a:off x="314325" y="2828925"/>
          <a:ext cx="838200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11</xdr:col>
      <xdr:colOff>0</xdr:colOff>
      <xdr:row>18</xdr:row>
      <xdr:rowOff>19050</xdr:rowOff>
    </xdr:from>
    <xdr:to>
      <xdr:col>11</xdr:col>
      <xdr:colOff>0</xdr:colOff>
      <xdr:row>18</xdr:row>
      <xdr:rowOff>19050</xdr:rowOff>
    </xdr:to>
    <xdr:sp macro="" textlink="">
      <xdr:nvSpPr>
        <xdr:cNvPr id="1045" name="Line 31">
          <a:extLst>
            <a:ext uri="{FF2B5EF4-FFF2-40B4-BE49-F238E27FC236}">
              <a16:creationId xmlns:a16="http://schemas.microsoft.com/office/drawing/2014/main" id="{01EF8CED-655F-59A2-2A5A-91629FA7B77F}"/>
            </a:ext>
          </a:extLst>
        </xdr:cNvPr>
        <xdr:cNvSpPr>
          <a:spLocks noChangeShapeType="1"/>
        </xdr:cNvSpPr>
      </xdr:nvSpPr>
      <xdr:spPr bwMode="auto">
        <a:xfrm>
          <a:off x="9267825" y="3571875"/>
          <a:ext cx="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10</xdr:col>
      <xdr:colOff>200025</xdr:colOff>
      <xdr:row>10</xdr:row>
      <xdr:rowOff>47625</xdr:rowOff>
    </xdr:from>
    <xdr:to>
      <xdr:col>11</xdr:col>
      <xdr:colOff>504825</xdr:colOff>
      <xdr:row>15</xdr:row>
      <xdr:rowOff>133350</xdr:rowOff>
    </xdr:to>
    <xdr:pic>
      <xdr:nvPicPr>
        <xdr:cNvPr id="1046" name="図 2">
          <a:extLst>
            <a:ext uri="{FF2B5EF4-FFF2-40B4-BE49-F238E27FC236}">
              <a16:creationId xmlns:a16="http://schemas.microsoft.com/office/drawing/2014/main" id="{38AFE439-A813-580B-DD7E-34E250BB00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58225" y="2095500"/>
          <a:ext cx="1114425" cy="1047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142875</xdr:colOff>
      <xdr:row>4</xdr:row>
      <xdr:rowOff>57150</xdr:rowOff>
    </xdr:from>
    <xdr:to>
      <xdr:col>15</xdr:col>
      <xdr:colOff>571500</xdr:colOff>
      <xdr:row>7</xdr:row>
      <xdr:rowOff>161925</xdr:rowOff>
    </xdr:to>
    <xdr:pic>
      <xdr:nvPicPr>
        <xdr:cNvPr id="23" name="図 2">
          <a:extLst>
            <a:ext uri="{FF2B5EF4-FFF2-40B4-BE49-F238E27FC236}">
              <a16:creationId xmlns:a16="http://schemas.microsoft.com/office/drawing/2014/main" id="{850CC8FF-B0BA-49D5-B1A1-7DEEEA984E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20900" y="1381125"/>
          <a:ext cx="1114425" cy="1047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6</xdr:col>
      <xdr:colOff>638175</xdr:colOff>
      <xdr:row>42</xdr:row>
      <xdr:rowOff>180975</xdr:rowOff>
    </xdr:from>
    <xdr:ext cx="838200" cy="247650"/>
    <xdr:sp macro="" textlink="">
      <xdr:nvSpPr>
        <xdr:cNvPr id="42" name="AutoShape 20" descr="テキスト ボックス: 工  事  名">
          <a:extLst>
            <a:ext uri="{FF2B5EF4-FFF2-40B4-BE49-F238E27FC236}">
              <a16:creationId xmlns:a16="http://schemas.microsoft.com/office/drawing/2014/main" id="{0AA3F931-F20D-4661-8A9B-49137E17D9A6}"/>
            </a:ext>
          </a:extLst>
        </xdr:cNvPr>
        <xdr:cNvSpPr>
          <a:spLocks noChangeAspect="1" noChangeArrowheads="1"/>
        </xdr:cNvSpPr>
      </xdr:nvSpPr>
      <xdr:spPr bwMode="auto">
        <a:xfrm>
          <a:off x="6057900" y="13515975"/>
          <a:ext cx="838200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50</xdr:row>
      <xdr:rowOff>0</xdr:rowOff>
    </xdr:from>
    <xdr:ext cx="428625" cy="9525"/>
    <xdr:sp macro="" textlink="">
      <xdr:nvSpPr>
        <xdr:cNvPr id="80" name="AutoShape 1" descr="クリア">
          <a:extLst>
            <a:ext uri="{FF2B5EF4-FFF2-40B4-BE49-F238E27FC236}">
              <a16:creationId xmlns:a16="http://schemas.microsoft.com/office/drawing/2014/main" id="{C5F78DDF-9815-4A1B-8DF0-9348657A748B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4286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50</xdr:row>
      <xdr:rowOff>0</xdr:rowOff>
    </xdr:from>
    <xdr:ext cx="533400" cy="9525"/>
    <xdr:sp macro="" textlink="">
      <xdr:nvSpPr>
        <xdr:cNvPr id="81" name="AutoShape 2" descr="見積書&#10;税あり">
          <a:extLst>
            <a:ext uri="{FF2B5EF4-FFF2-40B4-BE49-F238E27FC236}">
              <a16:creationId xmlns:a16="http://schemas.microsoft.com/office/drawing/2014/main" id="{A497B5E4-FB3F-4380-B8E1-55502E0E9044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50</xdr:row>
      <xdr:rowOff>0</xdr:rowOff>
    </xdr:from>
    <xdr:ext cx="523875" cy="9525"/>
    <xdr:sp macro="" textlink="">
      <xdr:nvSpPr>
        <xdr:cNvPr id="82" name="AutoShape 3" descr="内訳&#10;１ページ">
          <a:extLst>
            <a:ext uri="{FF2B5EF4-FFF2-40B4-BE49-F238E27FC236}">
              <a16:creationId xmlns:a16="http://schemas.microsoft.com/office/drawing/2014/main" id="{21A03A10-15F2-4B94-9B5B-9698EB85FBA1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50</xdr:row>
      <xdr:rowOff>0</xdr:rowOff>
    </xdr:from>
    <xdr:ext cx="523875" cy="9525"/>
    <xdr:sp macro="" textlink="">
      <xdr:nvSpPr>
        <xdr:cNvPr id="83" name="AutoShape 4" descr="内訳&#10;２ページ">
          <a:extLst>
            <a:ext uri="{FF2B5EF4-FFF2-40B4-BE49-F238E27FC236}">
              <a16:creationId xmlns:a16="http://schemas.microsoft.com/office/drawing/2014/main" id="{A0E759D3-4635-450E-815A-52DC583CF595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50</xdr:row>
      <xdr:rowOff>0</xdr:rowOff>
    </xdr:from>
    <xdr:ext cx="514350" cy="9525"/>
    <xdr:sp macro="" textlink="">
      <xdr:nvSpPr>
        <xdr:cNvPr id="84" name="AutoShape 5" descr="内訳&#10;４ページ">
          <a:extLst>
            <a:ext uri="{FF2B5EF4-FFF2-40B4-BE49-F238E27FC236}">
              <a16:creationId xmlns:a16="http://schemas.microsoft.com/office/drawing/2014/main" id="{8DA18B5F-3900-4467-85CF-964597BAE008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50</xdr:row>
      <xdr:rowOff>0</xdr:rowOff>
    </xdr:from>
    <xdr:ext cx="514350" cy="9525"/>
    <xdr:sp macro="" textlink="">
      <xdr:nvSpPr>
        <xdr:cNvPr id="85" name="AutoShape 6" descr="内訳&#10;３ページ">
          <a:extLst>
            <a:ext uri="{FF2B5EF4-FFF2-40B4-BE49-F238E27FC236}">
              <a16:creationId xmlns:a16="http://schemas.microsoft.com/office/drawing/2014/main" id="{4FF6AEA2-EF04-47AC-9E0C-B70BA208300E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50</xdr:row>
      <xdr:rowOff>0</xdr:rowOff>
    </xdr:from>
    <xdr:ext cx="771525" cy="9525"/>
    <xdr:sp macro="" textlink="">
      <xdr:nvSpPr>
        <xdr:cNvPr id="86" name="AutoShape 7" descr="内訳&#10;５ページ">
          <a:extLst>
            <a:ext uri="{FF2B5EF4-FFF2-40B4-BE49-F238E27FC236}">
              <a16:creationId xmlns:a16="http://schemas.microsoft.com/office/drawing/2014/main" id="{F2DB9DCD-7C69-4AB8-B249-AEC3AE776CC2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7715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50</xdr:row>
      <xdr:rowOff>0</xdr:rowOff>
    </xdr:from>
    <xdr:ext cx="561975" cy="9525"/>
    <xdr:sp macro="" textlink="">
      <xdr:nvSpPr>
        <xdr:cNvPr id="87" name="AutoShape 8" descr="内訳&#10;６ページ">
          <a:extLst>
            <a:ext uri="{FF2B5EF4-FFF2-40B4-BE49-F238E27FC236}">
              <a16:creationId xmlns:a16="http://schemas.microsoft.com/office/drawing/2014/main" id="{2F26D15F-A25C-4BBD-AE9A-A798E07D8948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619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50</xdr:row>
      <xdr:rowOff>0</xdr:rowOff>
    </xdr:from>
    <xdr:ext cx="533400" cy="9525"/>
    <xdr:sp macro="" textlink="">
      <xdr:nvSpPr>
        <xdr:cNvPr id="88" name="AutoShape 9" descr="見積書&#10;税なし">
          <a:extLst>
            <a:ext uri="{FF2B5EF4-FFF2-40B4-BE49-F238E27FC236}">
              <a16:creationId xmlns:a16="http://schemas.microsoft.com/office/drawing/2014/main" id="{CA106B69-A6CB-477C-A06D-4CC227537C79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50</xdr:row>
      <xdr:rowOff>0</xdr:rowOff>
    </xdr:from>
    <xdr:ext cx="876300" cy="9525"/>
    <xdr:sp macro="" textlink="">
      <xdr:nvSpPr>
        <xdr:cNvPr id="90" name="AutoShape 11" descr="画面制御">
          <a:extLst>
            <a:ext uri="{FF2B5EF4-FFF2-40B4-BE49-F238E27FC236}">
              <a16:creationId xmlns:a16="http://schemas.microsoft.com/office/drawing/2014/main" id="{74136629-4F4F-46CC-89DF-2D5C7B412C25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763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50</xdr:row>
      <xdr:rowOff>0</xdr:rowOff>
    </xdr:from>
    <xdr:ext cx="876300" cy="38100"/>
    <xdr:sp macro="" textlink="">
      <xdr:nvSpPr>
        <xdr:cNvPr id="91" name="AutoShape 12" descr="image012">
          <a:extLst>
            <a:ext uri="{FF2B5EF4-FFF2-40B4-BE49-F238E27FC236}">
              <a16:creationId xmlns:a16="http://schemas.microsoft.com/office/drawing/2014/main" id="{5E597882-08EA-4C9D-A1A4-A2EACE0321E8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76300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50</xdr:row>
      <xdr:rowOff>0</xdr:rowOff>
    </xdr:from>
    <xdr:ext cx="990600" cy="9525"/>
    <xdr:sp macro="" textlink="">
      <xdr:nvSpPr>
        <xdr:cNvPr id="92" name="AutoShape 13" descr="入力説明">
          <a:extLst>
            <a:ext uri="{FF2B5EF4-FFF2-40B4-BE49-F238E27FC236}">
              <a16:creationId xmlns:a16="http://schemas.microsoft.com/office/drawing/2014/main" id="{FE3186BB-D36A-48E5-B078-D0E755B50F61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9906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50</xdr:row>
      <xdr:rowOff>0</xdr:rowOff>
    </xdr:from>
    <xdr:ext cx="1038225" cy="9525"/>
    <xdr:sp macro="" textlink="">
      <xdr:nvSpPr>
        <xdr:cNvPr id="93" name="AutoShape 14" descr="画面解除">
          <a:extLst>
            <a:ext uri="{FF2B5EF4-FFF2-40B4-BE49-F238E27FC236}">
              <a16:creationId xmlns:a16="http://schemas.microsoft.com/office/drawing/2014/main" id="{53CAC6E7-DF69-4394-9A03-F7EAE7050FB6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0382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50</xdr:row>
      <xdr:rowOff>0</xdr:rowOff>
    </xdr:from>
    <xdr:ext cx="819150" cy="9525"/>
    <xdr:sp macro="" textlink="">
      <xdr:nvSpPr>
        <xdr:cNvPr id="94" name="AutoShape 15" descr="データー&#10;クリア">
          <a:extLst>
            <a:ext uri="{FF2B5EF4-FFF2-40B4-BE49-F238E27FC236}">
              <a16:creationId xmlns:a16="http://schemas.microsoft.com/office/drawing/2014/main" id="{51EEF8CD-EEDA-4962-9D29-C42CF2FC14E0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191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50</xdr:row>
      <xdr:rowOff>0</xdr:rowOff>
    </xdr:from>
    <xdr:ext cx="1295400" cy="28575"/>
    <xdr:sp macro="" textlink="">
      <xdr:nvSpPr>
        <xdr:cNvPr id="95" name="AutoShape 16" descr="image016">
          <a:extLst>
            <a:ext uri="{FF2B5EF4-FFF2-40B4-BE49-F238E27FC236}">
              <a16:creationId xmlns:a16="http://schemas.microsoft.com/office/drawing/2014/main" id="{DB3781D9-FF86-48D9-B9A2-B41FF8EF9BF6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295400" cy="285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75</xdr:row>
      <xdr:rowOff>0</xdr:rowOff>
    </xdr:from>
    <xdr:ext cx="428625" cy="9525"/>
    <xdr:sp macro="" textlink="">
      <xdr:nvSpPr>
        <xdr:cNvPr id="98" name="AutoShape 1" descr="クリア">
          <a:extLst>
            <a:ext uri="{FF2B5EF4-FFF2-40B4-BE49-F238E27FC236}">
              <a16:creationId xmlns:a16="http://schemas.microsoft.com/office/drawing/2014/main" id="{A747EE28-02EE-455A-8774-062933FE54AA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4286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75</xdr:row>
      <xdr:rowOff>0</xdr:rowOff>
    </xdr:from>
    <xdr:ext cx="533400" cy="9525"/>
    <xdr:sp macro="" textlink="">
      <xdr:nvSpPr>
        <xdr:cNvPr id="99" name="AutoShape 2" descr="見積書&#10;税あり">
          <a:extLst>
            <a:ext uri="{FF2B5EF4-FFF2-40B4-BE49-F238E27FC236}">
              <a16:creationId xmlns:a16="http://schemas.microsoft.com/office/drawing/2014/main" id="{675A12F4-275A-4A03-8202-246FE11B9279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75</xdr:row>
      <xdr:rowOff>0</xdr:rowOff>
    </xdr:from>
    <xdr:ext cx="523875" cy="9525"/>
    <xdr:sp macro="" textlink="">
      <xdr:nvSpPr>
        <xdr:cNvPr id="100" name="AutoShape 3" descr="内訳&#10;１ページ">
          <a:extLst>
            <a:ext uri="{FF2B5EF4-FFF2-40B4-BE49-F238E27FC236}">
              <a16:creationId xmlns:a16="http://schemas.microsoft.com/office/drawing/2014/main" id="{43DD9505-B6B1-436D-A584-6A8BE42A39FB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75</xdr:row>
      <xdr:rowOff>0</xdr:rowOff>
    </xdr:from>
    <xdr:ext cx="523875" cy="9525"/>
    <xdr:sp macro="" textlink="">
      <xdr:nvSpPr>
        <xdr:cNvPr id="101" name="AutoShape 4" descr="内訳&#10;２ページ">
          <a:extLst>
            <a:ext uri="{FF2B5EF4-FFF2-40B4-BE49-F238E27FC236}">
              <a16:creationId xmlns:a16="http://schemas.microsoft.com/office/drawing/2014/main" id="{90FE47AF-7AEF-4144-A3AE-137A0AA57F75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75</xdr:row>
      <xdr:rowOff>0</xdr:rowOff>
    </xdr:from>
    <xdr:ext cx="514350" cy="9525"/>
    <xdr:sp macro="" textlink="">
      <xdr:nvSpPr>
        <xdr:cNvPr id="102" name="AutoShape 5" descr="内訳&#10;４ページ">
          <a:extLst>
            <a:ext uri="{FF2B5EF4-FFF2-40B4-BE49-F238E27FC236}">
              <a16:creationId xmlns:a16="http://schemas.microsoft.com/office/drawing/2014/main" id="{1232F32B-5E4E-4E41-9991-D909F7225731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75</xdr:row>
      <xdr:rowOff>0</xdr:rowOff>
    </xdr:from>
    <xdr:ext cx="514350" cy="9525"/>
    <xdr:sp macro="" textlink="">
      <xdr:nvSpPr>
        <xdr:cNvPr id="103" name="AutoShape 6" descr="内訳&#10;３ページ">
          <a:extLst>
            <a:ext uri="{FF2B5EF4-FFF2-40B4-BE49-F238E27FC236}">
              <a16:creationId xmlns:a16="http://schemas.microsoft.com/office/drawing/2014/main" id="{B2BF6455-3156-41FC-8808-AA4B1CCD21CB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75</xdr:row>
      <xdr:rowOff>0</xdr:rowOff>
    </xdr:from>
    <xdr:ext cx="771525" cy="9525"/>
    <xdr:sp macro="" textlink="">
      <xdr:nvSpPr>
        <xdr:cNvPr id="104" name="AutoShape 7" descr="内訳&#10;５ページ">
          <a:extLst>
            <a:ext uri="{FF2B5EF4-FFF2-40B4-BE49-F238E27FC236}">
              <a16:creationId xmlns:a16="http://schemas.microsoft.com/office/drawing/2014/main" id="{FA98AA9E-EEB8-431B-AF5A-269135E7A57B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7715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75</xdr:row>
      <xdr:rowOff>0</xdr:rowOff>
    </xdr:from>
    <xdr:ext cx="561975" cy="9525"/>
    <xdr:sp macro="" textlink="">
      <xdr:nvSpPr>
        <xdr:cNvPr id="105" name="AutoShape 8" descr="内訳&#10;６ページ">
          <a:extLst>
            <a:ext uri="{FF2B5EF4-FFF2-40B4-BE49-F238E27FC236}">
              <a16:creationId xmlns:a16="http://schemas.microsoft.com/office/drawing/2014/main" id="{EC73009D-ECDB-4097-9C88-E39F01FB0D29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619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75</xdr:row>
      <xdr:rowOff>0</xdr:rowOff>
    </xdr:from>
    <xdr:ext cx="533400" cy="9525"/>
    <xdr:sp macro="" textlink="">
      <xdr:nvSpPr>
        <xdr:cNvPr id="106" name="AutoShape 9" descr="見積書&#10;税なし">
          <a:extLst>
            <a:ext uri="{FF2B5EF4-FFF2-40B4-BE49-F238E27FC236}">
              <a16:creationId xmlns:a16="http://schemas.microsoft.com/office/drawing/2014/main" id="{08E549F4-0E11-4B37-B240-79006A76D8E7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75</xdr:row>
      <xdr:rowOff>0</xdr:rowOff>
    </xdr:from>
    <xdr:ext cx="876300" cy="9525"/>
    <xdr:sp macro="" textlink="">
      <xdr:nvSpPr>
        <xdr:cNvPr id="108" name="AutoShape 11" descr="画面制御">
          <a:extLst>
            <a:ext uri="{FF2B5EF4-FFF2-40B4-BE49-F238E27FC236}">
              <a16:creationId xmlns:a16="http://schemas.microsoft.com/office/drawing/2014/main" id="{6BEBE722-5349-424A-AEE2-433AC1BCD6A5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763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75</xdr:row>
      <xdr:rowOff>0</xdr:rowOff>
    </xdr:from>
    <xdr:ext cx="876300" cy="38100"/>
    <xdr:sp macro="" textlink="">
      <xdr:nvSpPr>
        <xdr:cNvPr id="109" name="AutoShape 12" descr="image012">
          <a:extLst>
            <a:ext uri="{FF2B5EF4-FFF2-40B4-BE49-F238E27FC236}">
              <a16:creationId xmlns:a16="http://schemas.microsoft.com/office/drawing/2014/main" id="{3B7CFB4D-04F6-41F1-AE91-A01B0209234E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76300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75</xdr:row>
      <xdr:rowOff>0</xdr:rowOff>
    </xdr:from>
    <xdr:ext cx="990600" cy="9525"/>
    <xdr:sp macro="" textlink="">
      <xdr:nvSpPr>
        <xdr:cNvPr id="110" name="AutoShape 13" descr="入力説明">
          <a:extLst>
            <a:ext uri="{FF2B5EF4-FFF2-40B4-BE49-F238E27FC236}">
              <a16:creationId xmlns:a16="http://schemas.microsoft.com/office/drawing/2014/main" id="{BC36C2F3-C4AE-485A-8A6C-93A05F2057EA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9906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75</xdr:row>
      <xdr:rowOff>0</xdr:rowOff>
    </xdr:from>
    <xdr:ext cx="1038225" cy="9525"/>
    <xdr:sp macro="" textlink="">
      <xdr:nvSpPr>
        <xdr:cNvPr id="111" name="AutoShape 14" descr="画面解除">
          <a:extLst>
            <a:ext uri="{FF2B5EF4-FFF2-40B4-BE49-F238E27FC236}">
              <a16:creationId xmlns:a16="http://schemas.microsoft.com/office/drawing/2014/main" id="{E8121017-6A30-4140-B75C-C9198E09DFA9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0382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75</xdr:row>
      <xdr:rowOff>0</xdr:rowOff>
    </xdr:from>
    <xdr:ext cx="819150" cy="9525"/>
    <xdr:sp macro="" textlink="">
      <xdr:nvSpPr>
        <xdr:cNvPr id="112" name="AutoShape 15" descr="データー&#10;クリア">
          <a:extLst>
            <a:ext uri="{FF2B5EF4-FFF2-40B4-BE49-F238E27FC236}">
              <a16:creationId xmlns:a16="http://schemas.microsoft.com/office/drawing/2014/main" id="{19965B22-3AAE-44F6-A8FD-F7326F5EE08E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191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75</xdr:row>
      <xdr:rowOff>0</xdr:rowOff>
    </xdr:from>
    <xdr:ext cx="1295400" cy="28575"/>
    <xdr:sp macro="" textlink="">
      <xdr:nvSpPr>
        <xdr:cNvPr id="113" name="AutoShape 16" descr="image016">
          <a:extLst>
            <a:ext uri="{FF2B5EF4-FFF2-40B4-BE49-F238E27FC236}">
              <a16:creationId xmlns:a16="http://schemas.microsoft.com/office/drawing/2014/main" id="{19274B0B-ECD0-4090-9E25-FC31076C0B41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295400" cy="285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100</xdr:row>
      <xdr:rowOff>0</xdr:rowOff>
    </xdr:from>
    <xdr:ext cx="428625" cy="9525"/>
    <xdr:sp macro="" textlink="">
      <xdr:nvSpPr>
        <xdr:cNvPr id="116" name="AutoShape 1" descr="クリア">
          <a:extLst>
            <a:ext uri="{FF2B5EF4-FFF2-40B4-BE49-F238E27FC236}">
              <a16:creationId xmlns:a16="http://schemas.microsoft.com/office/drawing/2014/main" id="{2C5CC55D-F539-4914-A6DC-6C08A0D06D07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4286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100</xdr:row>
      <xdr:rowOff>0</xdr:rowOff>
    </xdr:from>
    <xdr:ext cx="533400" cy="9525"/>
    <xdr:sp macro="" textlink="">
      <xdr:nvSpPr>
        <xdr:cNvPr id="117" name="AutoShape 2" descr="見積書&#10;税あり">
          <a:extLst>
            <a:ext uri="{FF2B5EF4-FFF2-40B4-BE49-F238E27FC236}">
              <a16:creationId xmlns:a16="http://schemas.microsoft.com/office/drawing/2014/main" id="{EB3F02FD-0DFE-43EE-9493-43B42806A08A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100</xdr:row>
      <xdr:rowOff>0</xdr:rowOff>
    </xdr:from>
    <xdr:ext cx="523875" cy="9525"/>
    <xdr:sp macro="" textlink="">
      <xdr:nvSpPr>
        <xdr:cNvPr id="118" name="AutoShape 3" descr="内訳&#10;１ページ">
          <a:extLst>
            <a:ext uri="{FF2B5EF4-FFF2-40B4-BE49-F238E27FC236}">
              <a16:creationId xmlns:a16="http://schemas.microsoft.com/office/drawing/2014/main" id="{F72CAACD-B1D0-4C03-B8F9-03A9CFB909C5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100</xdr:row>
      <xdr:rowOff>0</xdr:rowOff>
    </xdr:from>
    <xdr:ext cx="523875" cy="9525"/>
    <xdr:sp macro="" textlink="">
      <xdr:nvSpPr>
        <xdr:cNvPr id="119" name="AutoShape 4" descr="内訳&#10;２ページ">
          <a:extLst>
            <a:ext uri="{FF2B5EF4-FFF2-40B4-BE49-F238E27FC236}">
              <a16:creationId xmlns:a16="http://schemas.microsoft.com/office/drawing/2014/main" id="{20C0DB3B-4AAF-4AB7-B768-27F9DB1BE407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100</xdr:row>
      <xdr:rowOff>0</xdr:rowOff>
    </xdr:from>
    <xdr:ext cx="514350" cy="9525"/>
    <xdr:sp macro="" textlink="">
      <xdr:nvSpPr>
        <xdr:cNvPr id="120" name="AutoShape 5" descr="内訳&#10;４ページ">
          <a:extLst>
            <a:ext uri="{FF2B5EF4-FFF2-40B4-BE49-F238E27FC236}">
              <a16:creationId xmlns:a16="http://schemas.microsoft.com/office/drawing/2014/main" id="{3F7503AB-DCFD-412E-8C7F-17BDD41EEA48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100</xdr:row>
      <xdr:rowOff>0</xdr:rowOff>
    </xdr:from>
    <xdr:ext cx="514350" cy="9525"/>
    <xdr:sp macro="" textlink="">
      <xdr:nvSpPr>
        <xdr:cNvPr id="121" name="AutoShape 6" descr="内訳&#10;３ページ">
          <a:extLst>
            <a:ext uri="{FF2B5EF4-FFF2-40B4-BE49-F238E27FC236}">
              <a16:creationId xmlns:a16="http://schemas.microsoft.com/office/drawing/2014/main" id="{010FB200-91E1-457A-A3E0-38F6A2434654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100</xdr:row>
      <xdr:rowOff>0</xdr:rowOff>
    </xdr:from>
    <xdr:ext cx="771525" cy="9525"/>
    <xdr:sp macro="" textlink="">
      <xdr:nvSpPr>
        <xdr:cNvPr id="122" name="AutoShape 7" descr="内訳&#10;５ページ">
          <a:extLst>
            <a:ext uri="{FF2B5EF4-FFF2-40B4-BE49-F238E27FC236}">
              <a16:creationId xmlns:a16="http://schemas.microsoft.com/office/drawing/2014/main" id="{633B19A2-C7F8-47A9-98B9-8E75D90B8477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7715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100</xdr:row>
      <xdr:rowOff>0</xdr:rowOff>
    </xdr:from>
    <xdr:ext cx="561975" cy="9525"/>
    <xdr:sp macro="" textlink="">
      <xdr:nvSpPr>
        <xdr:cNvPr id="123" name="AutoShape 8" descr="内訳&#10;６ページ">
          <a:extLst>
            <a:ext uri="{FF2B5EF4-FFF2-40B4-BE49-F238E27FC236}">
              <a16:creationId xmlns:a16="http://schemas.microsoft.com/office/drawing/2014/main" id="{F9CDF796-82D8-4B9A-AE81-6BDC3BC7AEAE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619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100</xdr:row>
      <xdr:rowOff>0</xdr:rowOff>
    </xdr:from>
    <xdr:ext cx="533400" cy="9525"/>
    <xdr:sp macro="" textlink="">
      <xdr:nvSpPr>
        <xdr:cNvPr id="124" name="AutoShape 9" descr="見積書&#10;税なし">
          <a:extLst>
            <a:ext uri="{FF2B5EF4-FFF2-40B4-BE49-F238E27FC236}">
              <a16:creationId xmlns:a16="http://schemas.microsoft.com/office/drawing/2014/main" id="{C1F6492F-EF60-47B9-82B4-995723E70297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100</xdr:row>
      <xdr:rowOff>0</xdr:rowOff>
    </xdr:from>
    <xdr:ext cx="876300" cy="9525"/>
    <xdr:sp macro="" textlink="">
      <xdr:nvSpPr>
        <xdr:cNvPr id="126" name="AutoShape 11" descr="画面制御">
          <a:extLst>
            <a:ext uri="{FF2B5EF4-FFF2-40B4-BE49-F238E27FC236}">
              <a16:creationId xmlns:a16="http://schemas.microsoft.com/office/drawing/2014/main" id="{6E495244-862D-406D-8C63-9CD3528AE441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763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100</xdr:row>
      <xdr:rowOff>0</xdr:rowOff>
    </xdr:from>
    <xdr:ext cx="876300" cy="38100"/>
    <xdr:sp macro="" textlink="">
      <xdr:nvSpPr>
        <xdr:cNvPr id="127" name="AutoShape 12" descr="image012">
          <a:extLst>
            <a:ext uri="{FF2B5EF4-FFF2-40B4-BE49-F238E27FC236}">
              <a16:creationId xmlns:a16="http://schemas.microsoft.com/office/drawing/2014/main" id="{D6C0FAFC-B5DD-4B7C-8478-E1A20AD77F5D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76300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100</xdr:row>
      <xdr:rowOff>0</xdr:rowOff>
    </xdr:from>
    <xdr:ext cx="990600" cy="9525"/>
    <xdr:sp macro="" textlink="">
      <xdr:nvSpPr>
        <xdr:cNvPr id="128" name="AutoShape 13" descr="入力説明">
          <a:extLst>
            <a:ext uri="{FF2B5EF4-FFF2-40B4-BE49-F238E27FC236}">
              <a16:creationId xmlns:a16="http://schemas.microsoft.com/office/drawing/2014/main" id="{FBD02F16-89A6-4771-A1DA-10FF31CF8EDF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9906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100</xdr:row>
      <xdr:rowOff>0</xdr:rowOff>
    </xdr:from>
    <xdr:ext cx="1038225" cy="9525"/>
    <xdr:sp macro="" textlink="">
      <xdr:nvSpPr>
        <xdr:cNvPr id="129" name="AutoShape 14" descr="画面解除">
          <a:extLst>
            <a:ext uri="{FF2B5EF4-FFF2-40B4-BE49-F238E27FC236}">
              <a16:creationId xmlns:a16="http://schemas.microsoft.com/office/drawing/2014/main" id="{F1DAF7F1-200D-4D4B-A75E-4E78A03A5B5D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0382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100</xdr:row>
      <xdr:rowOff>0</xdr:rowOff>
    </xdr:from>
    <xdr:ext cx="819150" cy="9525"/>
    <xdr:sp macro="" textlink="">
      <xdr:nvSpPr>
        <xdr:cNvPr id="130" name="AutoShape 15" descr="データー&#10;クリア">
          <a:extLst>
            <a:ext uri="{FF2B5EF4-FFF2-40B4-BE49-F238E27FC236}">
              <a16:creationId xmlns:a16="http://schemas.microsoft.com/office/drawing/2014/main" id="{539FB549-0790-4597-A36C-B4344A5A4005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191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100</xdr:row>
      <xdr:rowOff>0</xdr:rowOff>
    </xdr:from>
    <xdr:ext cx="1295400" cy="28575"/>
    <xdr:sp macro="" textlink="">
      <xdr:nvSpPr>
        <xdr:cNvPr id="131" name="AutoShape 16" descr="image016">
          <a:extLst>
            <a:ext uri="{FF2B5EF4-FFF2-40B4-BE49-F238E27FC236}">
              <a16:creationId xmlns:a16="http://schemas.microsoft.com/office/drawing/2014/main" id="{677EE16B-5FD2-4162-ABE1-27A71AF40AD8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295400" cy="285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125</xdr:row>
      <xdr:rowOff>0</xdr:rowOff>
    </xdr:from>
    <xdr:ext cx="428625" cy="9525"/>
    <xdr:sp macro="" textlink="">
      <xdr:nvSpPr>
        <xdr:cNvPr id="134" name="AutoShape 1" descr="クリア">
          <a:extLst>
            <a:ext uri="{FF2B5EF4-FFF2-40B4-BE49-F238E27FC236}">
              <a16:creationId xmlns:a16="http://schemas.microsoft.com/office/drawing/2014/main" id="{9CF5ACEB-EA86-4F58-9DB5-9677E8DCDA32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4286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125</xdr:row>
      <xdr:rowOff>0</xdr:rowOff>
    </xdr:from>
    <xdr:ext cx="533400" cy="9525"/>
    <xdr:sp macro="" textlink="">
      <xdr:nvSpPr>
        <xdr:cNvPr id="135" name="AutoShape 2" descr="見積書&#10;税あり">
          <a:extLst>
            <a:ext uri="{FF2B5EF4-FFF2-40B4-BE49-F238E27FC236}">
              <a16:creationId xmlns:a16="http://schemas.microsoft.com/office/drawing/2014/main" id="{29FED399-7374-40FE-A336-336B1B2D2868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125</xdr:row>
      <xdr:rowOff>0</xdr:rowOff>
    </xdr:from>
    <xdr:ext cx="523875" cy="9525"/>
    <xdr:sp macro="" textlink="">
      <xdr:nvSpPr>
        <xdr:cNvPr id="136" name="AutoShape 3" descr="内訳&#10;１ページ">
          <a:extLst>
            <a:ext uri="{FF2B5EF4-FFF2-40B4-BE49-F238E27FC236}">
              <a16:creationId xmlns:a16="http://schemas.microsoft.com/office/drawing/2014/main" id="{D4618513-90FF-4E18-BBAE-3BC0C62C1A9B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125</xdr:row>
      <xdr:rowOff>0</xdr:rowOff>
    </xdr:from>
    <xdr:ext cx="523875" cy="9525"/>
    <xdr:sp macro="" textlink="">
      <xdr:nvSpPr>
        <xdr:cNvPr id="137" name="AutoShape 4" descr="内訳&#10;２ページ">
          <a:extLst>
            <a:ext uri="{FF2B5EF4-FFF2-40B4-BE49-F238E27FC236}">
              <a16:creationId xmlns:a16="http://schemas.microsoft.com/office/drawing/2014/main" id="{F95C2675-91E1-4207-9D8C-8874EEF97CD7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125</xdr:row>
      <xdr:rowOff>0</xdr:rowOff>
    </xdr:from>
    <xdr:ext cx="514350" cy="9525"/>
    <xdr:sp macro="" textlink="">
      <xdr:nvSpPr>
        <xdr:cNvPr id="138" name="AutoShape 5" descr="内訳&#10;４ページ">
          <a:extLst>
            <a:ext uri="{FF2B5EF4-FFF2-40B4-BE49-F238E27FC236}">
              <a16:creationId xmlns:a16="http://schemas.microsoft.com/office/drawing/2014/main" id="{61CDBF39-4635-4182-9937-C63BD18609D5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125</xdr:row>
      <xdr:rowOff>0</xdr:rowOff>
    </xdr:from>
    <xdr:ext cx="514350" cy="9525"/>
    <xdr:sp macro="" textlink="">
      <xdr:nvSpPr>
        <xdr:cNvPr id="139" name="AutoShape 6" descr="内訳&#10;３ページ">
          <a:extLst>
            <a:ext uri="{FF2B5EF4-FFF2-40B4-BE49-F238E27FC236}">
              <a16:creationId xmlns:a16="http://schemas.microsoft.com/office/drawing/2014/main" id="{AA27FC85-BA94-46D0-B7E4-B700C1334201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125</xdr:row>
      <xdr:rowOff>0</xdr:rowOff>
    </xdr:from>
    <xdr:ext cx="771525" cy="9525"/>
    <xdr:sp macro="" textlink="">
      <xdr:nvSpPr>
        <xdr:cNvPr id="140" name="AutoShape 7" descr="内訳&#10;５ページ">
          <a:extLst>
            <a:ext uri="{FF2B5EF4-FFF2-40B4-BE49-F238E27FC236}">
              <a16:creationId xmlns:a16="http://schemas.microsoft.com/office/drawing/2014/main" id="{48BD7417-6D3E-40FC-95C4-1BF1D248673A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7715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125</xdr:row>
      <xdr:rowOff>0</xdr:rowOff>
    </xdr:from>
    <xdr:ext cx="561975" cy="9525"/>
    <xdr:sp macro="" textlink="">
      <xdr:nvSpPr>
        <xdr:cNvPr id="141" name="AutoShape 8" descr="内訳&#10;６ページ">
          <a:extLst>
            <a:ext uri="{FF2B5EF4-FFF2-40B4-BE49-F238E27FC236}">
              <a16:creationId xmlns:a16="http://schemas.microsoft.com/office/drawing/2014/main" id="{BD7E0D80-EC1E-4767-936F-336BA08FE09D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619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125</xdr:row>
      <xdr:rowOff>0</xdr:rowOff>
    </xdr:from>
    <xdr:ext cx="533400" cy="9525"/>
    <xdr:sp macro="" textlink="">
      <xdr:nvSpPr>
        <xdr:cNvPr id="142" name="AutoShape 9" descr="見積書&#10;税なし">
          <a:extLst>
            <a:ext uri="{FF2B5EF4-FFF2-40B4-BE49-F238E27FC236}">
              <a16:creationId xmlns:a16="http://schemas.microsoft.com/office/drawing/2014/main" id="{9C6B2534-FA10-45B9-B445-0512BEE4598D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125</xdr:row>
      <xdr:rowOff>0</xdr:rowOff>
    </xdr:from>
    <xdr:ext cx="876300" cy="9525"/>
    <xdr:sp macro="" textlink="">
      <xdr:nvSpPr>
        <xdr:cNvPr id="144" name="AutoShape 11" descr="画面制御">
          <a:extLst>
            <a:ext uri="{FF2B5EF4-FFF2-40B4-BE49-F238E27FC236}">
              <a16:creationId xmlns:a16="http://schemas.microsoft.com/office/drawing/2014/main" id="{76932168-7BEC-4044-9E55-1245CAFEC0D5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763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125</xdr:row>
      <xdr:rowOff>0</xdr:rowOff>
    </xdr:from>
    <xdr:ext cx="876300" cy="38100"/>
    <xdr:sp macro="" textlink="">
      <xdr:nvSpPr>
        <xdr:cNvPr id="145" name="AutoShape 12" descr="image012">
          <a:extLst>
            <a:ext uri="{FF2B5EF4-FFF2-40B4-BE49-F238E27FC236}">
              <a16:creationId xmlns:a16="http://schemas.microsoft.com/office/drawing/2014/main" id="{64DD0BA7-DA3E-41D0-81DF-BB08C45A9752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76300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125</xdr:row>
      <xdr:rowOff>0</xdr:rowOff>
    </xdr:from>
    <xdr:ext cx="990600" cy="9525"/>
    <xdr:sp macro="" textlink="">
      <xdr:nvSpPr>
        <xdr:cNvPr id="146" name="AutoShape 13" descr="入力説明">
          <a:extLst>
            <a:ext uri="{FF2B5EF4-FFF2-40B4-BE49-F238E27FC236}">
              <a16:creationId xmlns:a16="http://schemas.microsoft.com/office/drawing/2014/main" id="{392145CE-4716-473A-8CF0-3F2D03E027BA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9906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125</xdr:row>
      <xdr:rowOff>0</xdr:rowOff>
    </xdr:from>
    <xdr:ext cx="1038225" cy="9525"/>
    <xdr:sp macro="" textlink="">
      <xdr:nvSpPr>
        <xdr:cNvPr id="147" name="AutoShape 14" descr="画面解除">
          <a:extLst>
            <a:ext uri="{FF2B5EF4-FFF2-40B4-BE49-F238E27FC236}">
              <a16:creationId xmlns:a16="http://schemas.microsoft.com/office/drawing/2014/main" id="{CF074F44-E736-4114-B3AD-5D4604E5C559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0382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125</xdr:row>
      <xdr:rowOff>0</xdr:rowOff>
    </xdr:from>
    <xdr:ext cx="819150" cy="9525"/>
    <xdr:sp macro="" textlink="">
      <xdr:nvSpPr>
        <xdr:cNvPr id="148" name="AutoShape 15" descr="データー&#10;クリア">
          <a:extLst>
            <a:ext uri="{FF2B5EF4-FFF2-40B4-BE49-F238E27FC236}">
              <a16:creationId xmlns:a16="http://schemas.microsoft.com/office/drawing/2014/main" id="{5FFFAB58-60EC-4AA0-8B00-A98D9DD96412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191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125</xdr:row>
      <xdr:rowOff>0</xdr:rowOff>
    </xdr:from>
    <xdr:ext cx="1295400" cy="28575"/>
    <xdr:sp macro="" textlink="">
      <xdr:nvSpPr>
        <xdr:cNvPr id="149" name="AutoShape 16" descr="image016">
          <a:extLst>
            <a:ext uri="{FF2B5EF4-FFF2-40B4-BE49-F238E27FC236}">
              <a16:creationId xmlns:a16="http://schemas.microsoft.com/office/drawing/2014/main" id="{DC55EDE2-C017-497D-B318-E4969545384F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295400" cy="285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150</xdr:row>
      <xdr:rowOff>0</xdr:rowOff>
    </xdr:from>
    <xdr:ext cx="428625" cy="9525"/>
    <xdr:sp macro="" textlink="">
      <xdr:nvSpPr>
        <xdr:cNvPr id="152" name="AutoShape 1" descr="クリア">
          <a:extLst>
            <a:ext uri="{FF2B5EF4-FFF2-40B4-BE49-F238E27FC236}">
              <a16:creationId xmlns:a16="http://schemas.microsoft.com/office/drawing/2014/main" id="{D1D3D92C-D7CA-441F-8192-C30D32C42204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4286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150</xdr:row>
      <xdr:rowOff>0</xdr:rowOff>
    </xdr:from>
    <xdr:ext cx="533400" cy="9525"/>
    <xdr:sp macro="" textlink="">
      <xdr:nvSpPr>
        <xdr:cNvPr id="153" name="AutoShape 2" descr="見積書&#10;税あり">
          <a:extLst>
            <a:ext uri="{FF2B5EF4-FFF2-40B4-BE49-F238E27FC236}">
              <a16:creationId xmlns:a16="http://schemas.microsoft.com/office/drawing/2014/main" id="{E28C1193-4DA2-470F-AFB7-473AAECD1768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150</xdr:row>
      <xdr:rowOff>0</xdr:rowOff>
    </xdr:from>
    <xdr:ext cx="523875" cy="9525"/>
    <xdr:sp macro="" textlink="">
      <xdr:nvSpPr>
        <xdr:cNvPr id="154" name="AutoShape 3" descr="内訳&#10;１ページ">
          <a:extLst>
            <a:ext uri="{FF2B5EF4-FFF2-40B4-BE49-F238E27FC236}">
              <a16:creationId xmlns:a16="http://schemas.microsoft.com/office/drawing/2014/main" id="{CED578FE-FB08-4943-BC09-40039ED6DE9F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150</xdr:row>
      <xdr:rowOff>0</xdr:rowOff>
    </xdr:from>
    <xdr:ext cx="523875" cy="9525"/>
    <xdr:sp macro="" textlink="">
      <xdr:nvSpPr>
        <xdr:cNvPr id="155" name="AutoShape 4" descr="内訳&#10;２ページ">
          <a:extLst>
            <a:ext uri="{FF2B5EF4-FFF2-40B4-BE49-F238E27FC236}">
              <a16:creationId xmlns:a16="http://schemas.microsoft.com/office/drawing/2014/main" id="{CF159765-FF02-4686-86C7-4FD8FD3DB308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150</xdr:row>
      <xdr:rowOff>0</xdr:rowOff>
    </xdr:from>
    <xdr:ext cx="514350" cy="9525"/>
    <xdr:sp macro="" textlink="">
      <xdr:nvSpPr>
        <xdr:cNvPr id="156" name="AutoShape 5" descr="内訳&#10;４ページ">
          <a:extLst>
            <a:ext uri="{FF2B5EF4-FFF2-40B4-BE49-F238E27FC236}">
              <a16:creationId xmlns:a16="http://schemas.microsoft.com/office/drawing/2014/main" id="{FEAF31A4-AEBF-4ECA-B796-6CC722C1E9B1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150</xdr:row>
      <xdr:rowOff>0</xdr:rowOff>
    </xdr:from>
    <xdr:ext cx="514350" cy="9525"/>
    <xdr:sp macro="" textlink="">
      <xdr:nvSpPr>
        <xdr:cNvPr id="157" name="AutoShape 6" descr="内訳&#10;３ページ">
          <a:extLst>
            <a:ext uri="{FF2B5EF4-FFF2-40B4-BE49-F238E27FC236}">
              <a16:creationId xmlns:a16="http://schemas.microsoft.com/office/drawing/2014/main" id="{73F41954-6C68-40B7-94F0-1C022BB4CF40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150</xdr:row>
      <xdr:rowOff>0</xdr:rowOff>
    </xdr:from>
    <xdr:ext cx="771525" cy="9525"/>
    <xdr:sp macro="" textlink="">
      <xdr:nvSpPr>
        <xdr:cNvPr id="158" name="AutoShape 7" descr="内訳&#10;５ページ">
          <a:extLst>
            <a:ext uri="{FF2B5EF4-FFF2-40B4-BE49-F238E27FC236}">
              <a16:creationId xmlns:a16="http://schemas.microsoft.com/office/drawing/2014/main" id="{5D10E74A-8E0E-4234-8DED-F5EEA0DA2C67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7715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150</xdr:row>
      <xdr:rowOff>0</xdr:rowOff>
    </xdr:from>
    <xdr:ext cx="561975" cy="9525"/>
    <xdr:sp macro="" textlink="">
      <xdr:nvSpPr>
        <xdr:cNvPr id="159" name="AutoShape 8" descr="内訳&#10;６ページ">
          <a:extLst>
            <a:ext uri="{FF2B5EF4-FFF2-40B4-BE49-F238E27FC236}">
              <a16:creationId xmlns:a16="http://schemas.microsoft.com/office/drawing/2014/main" id="{A62248D4-0CED-495F-8188-058BD5BF3CEA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619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150</xdr:row>
      <xdr:rowOff>0</xdr:rowOff>
    </xdr:from>
    <xdr:ext cx="533400" cy="9525"/>
    <xdr:sp macro="" textlink="">
      <xdr:nvSpPr>
        <xdr:cNvPr id="160" name="AutoShape 9" descr="見積書&#10;税なし">
          <a:extLst>
            <a:ext uri="{FF2B5EF4-FFF2-40B4-BE49-F238E27FC236}">
              <a16:creationId xmlns:a16="http://schemas.microsoft.com/office/drawing/2014/main" id="{236CE5C9-98EE-4DA1-8A20-16F02D24A251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150</xdr:row>
      <xdr:rowOff>0</xdr:rowOff>
    </xdr:from>
    <xdr:ext cx="876300" cy="9525"/>
    <xdr:sp macro="" textlink="">
      <xdr:nvSpPr>
        <xdr:cNvPr id="162" name="AutoShape 11" descr="画面制御">
          <a:extLst>
            <a:ext uri="{FF2B5EF4-FFF2-40B4-BE49-F238E27FC236}">
              <a16:creationId xmlns:a16="http://schemas.microsoft.com/office/drawing/2014/main" id="{1271599A-444F-47E9-B6DE-E5AAA7D86FB7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763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150</xdr:row>
      <xdr:rowOff>0</xdr:rowOff>
    </xdr:from>
    <xdr:ext cx="876300" cy="38100"/>
    <xdr:sp macro="" textlink="">
      <xdr:nvSpPr>
        <xdr:cNvPr id="163" name="AutoShape 12" descr="image012">
          <a:extLst>
            <a:ext uri="{FF2B5EF4-FFF2-40B4-BE49-F238E27FC236}">
              <a16:creationId xmlns:a16="http://schemas.microsoft.com/office/drawing/2014/main" id="{7325D869-DA43-4AE3-9AA5-169E07E9448A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76300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150</xdr:row>
      <xdr:rowOff>0</xdr:rowOff>
    </xdr:from>
    <xdr:ext cx="990600" cy="9525"/>
    <xdr:sp macro="" textlink="">
      <xdr:nvSpPr>
        <xdr:cNvPr id="164" name="AutoShape 13" descr="入力説明">
          <a:extLst>
            <a:ext uri="{FF2B5EF4-FFF2-40B4-BE49-F238E27FC236}">
              <a16:creationId xmlns:a16="http://schemas.microsoft.com/office/drawing/2014/main" id="{12050063-399D-48CE-98E3-4641EF582DF9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9906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150</xdr:row>
      <xdr:rowOff>0</xdr:rowOff>
    </xdr:from>
    <xdr:ext cx="1038225" cy="9525"/>
    <xdr:sp macro="" textlink="">
      <xdr:nvSpPr>
        <xdr:cNvPr id="165" name="AutoShape 14" descr="画面解除">
          <a:extLst>
            <a:ext uri="{FF2B5EF4-FFF2-40B4-BE49-F238E27FC236}">
              <a16:creationId xmlns:a16="http://schemas.microsoft.com/office/drawing/2014/main" id="{4F0AC2DD-342B-461E-B99F-520BDB3C3A23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0382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150</xdr:row>
      <xdr:rowOff>0</xdr:rowOff>
    </xdr:from>
    <xdr:ext cx="819150" cy="9525"/>
    <xdr:sp macro="" textlink="">
      <xdr:nvSpPr>
        <xdr:cNvPr id="166" name="AutoShape 15" descr="データー&#10;クリア">
          <a:extLst>
            <a:ext uri="{FF2B5EF4-FFF2-40B4-BE49-F238E27FC236}">
              <a16:creationId xmlns:a16="http://schemas.microsoft.com/office/drawing/2014/main" id="{C610D897-6881-4415-9F1A-3B04A3FBC3BD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191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150</xdr:row>
      <xdr:rowOff>0</xdr:rowOff>
    </xdr:from>
    <xdr:ext cx="1295400" cy="28575"/>
    <xdr:sp macro="" textlink="">
      <xdr:nvSpPr>
        <xdr:cNvPr id="167" name="AutoShape 16" descr="image016">
          <a:extLst>
            <a:ext uri="{FF2B5EF4-FFF2-40B4-BE49-F238E27FC236}">
              <a16:creationId xmlns:a16="http://schemas.microsoft.com/office/drawing/2014/main" id="{A05731B0-1C34-4FB7-8939-7B5F4FFE36F5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295400" cy="285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175</xdr:row>
      <xdr:rowOff>0</xdr:rowOff>
    </xdr:from>
    <xdr:ext cx="428625" cy="9525"/>
    <xdr:sp macro="" textlink="">
      <xdr:nvSpPr>
        <xdr:cNvPr id="170" name="AutoShape 1" descr="クリア">
          <a:extLst>
            <a:ext uri="{FF2B5EF4-FFF2-40B4-BE49-F238E27FC236}">
              <a16:creationId xmlns:a16="http://schemas.microsoft.com/office/drawing/2014/main" id="{CBA1C45B-A91E-439E-AE82-4E3459EB6CF1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4286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175</xdr:row>
      <xdr:rowOff>0</xdr:rowOff>
    </xdr:from>
    <xdr:ext cx="533400" cy="9525"/>
    <xdr:sp macro="" textlink="">
      <xdr:nvSpPr>
        <xdr:cNvPr id="171" name="AutoShape 2" descr="見積書&#10;税あり">
          <a:extLst>
            <a:ext uri="{FF2B5EF4-FFF2-40B4-BE49-F238E27FC236}">
              <a16:creationId xmlns:a16="http://schemas.microsoft.com/office/drawing/2014/main" id="{311C4EC5-B4EF-4F58-8E21-B60478C8372C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175</xdr:row>
      <xdr:rowOff>0</xdr:rowOff>
    </xdr:from>
    <xdr:ext cx="523875" cy="9525"/>
    <xdr:sp macro="" textlink="">
      <xdr:nvSpPr>
        <xdr:cNvPr id="172" name="AutoShape 3" descr="内訳&#10;１ページ">
          <a:extLst>
            <a:ext uri="{FF2B5EF4-FFF2-40B4-BE49-F238E27FC236}">
              <a16:creationId xmlns:a16="http://schemas.microsoft.com/office/drawing/2014/main" id="{3BC5F641-C299-4BB4-9FB1-FC6F697E225D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175</xdr:row>
      <xdr:rowOff>0</xdr:rowOff>
    </xdr:from>
    <xdr:ext cx="523875" cy="9525"/>
    <xdr:sp macro="" textlink="">
      <xdr:nvSpPr>
        <xdr:cNvPr id="173" name="AutoShape 4" descr="内訳&#10;２ページ">
          <a:extLst>
            <a:ext uri="{FF2B5EF4-FFF2-40B4-BE49-F238E27FC236}">
              <a16:creationId xmlns:a16="http://schemas.microsoft.com/office/drawing/2014/main" id="{B8B99FA4-31ED-4803-A38D-17C6EEB0BDD8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175</xdr:row>
      <xdr:rowOff>0</xdr:rowOff>
    </xdr:from>
    <xdr:ext cx="514350" cy="9525"/>
    <xdr:sp macro="" textlink="">
      <xdr:nvSpPr>
        <xdr:cNvPr id="174" name="AutoShape 5" descr="内訳&#10;４ページ">
          <a:extLst>
            <a:ext uri="{FF2B5EF4-FFF2-40B4-BE49-F238E27FC236}">
              <a16:creationId xmlns:a16="http://schemas.microsoft.com/office/drawing/2014/main" id="{4F2FF3DA-85FB-4338-8B21-0203C553963C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175</xdr:row>
      <xdr:rowOff>0</xdr:rowOff>
    </xdr:from>
    <xdr:ext cx="514350" cy="9525"/>
    <xdr:sp macro="" textlink="">
      <xdr:nvSpPr>
        <xdr:cNvPr id="175" name="AutoShape 6" descr="内訳&#10;３ページ">
          <a:extLst>
            <a:ext uri="{FF2B5EF4-FFF2-40B4-BE49-F238E27FC236}">
              <a16:creationId xmlns:a16="http://schemas.microsoft.com/office/drawing/2014/main" id="{17FF0780-651E-4082-9CD1-9E8D85FDDB6C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175</xdr:row>
      <xdr:rowOff>0</xdr:rowOff>
    </xdr:from>
    <xdr:ext cx="771525" cy="9525"/>
    <xdr:sp macro="" textlink="">
      <xdr:nvSpPr>
        <xdr:cNvPr id="176" name="AutoShape 7" descr="内訳&#10;５ページ">
          <a:extLst>
            <a:ext uri="{FF2B5EF4-FFF2-40B4-BE49-F238E27FC236}">
              <a16:creationId xmlns:a16="http://schemas.microsoft.com/office/drawing/2014/main" id="{FBEAEB5C-6EE3-44C2-8B6E-8BC11B44D173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7715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175</xdr:row>
      <xdr:rowOff>0</xdr:rowOff>
    </xdr:from>
    <xdr:ext cx="561975" cy="9525"/>
    <xdr:sp macro="" textlink="">
      <xdr:nvSpPr>
        <xdr:cNvPr id="177" name="AutoShape 8" descr="内訳&#10;６ページ">
          <a:extLst>
            <a:ext uri="{FF2B5EF4-FFF2-40B4-BE49-F238E27FC236}">
              <a16:creationId xmlns:a16="http://schemas.microsoft.com/office/drawing/2014/main" id="{775D07DE-F229-4434-9362-5FDB6FC920E9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619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175</xdr:row>
      <xdr:rowOff>0</xdr:rowOff>
    </xdr:from>
    <xdr:ext cx="533400" cy="9525"/>
    <xdr:sp macro="" textlink="">
      <xdr:nvSpPr>
        <xdr:cNvPr id="178" name="AutoShape 9" descr="見積書&#10;税なし">
          <a:extLst>
            <a:ext uri="{FF2B5EF4-FFF2-40B4-BE49-F238E27FC236}">
              <a16:creationId xmlns:a16="http://schemas.microsoft.com/office/drawing/2014/main" id="{DAC93576-3B3D-4CFD-8E03-DF370B4192E6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175</xdr:row>
      <xdr:rowOff>0</xdr:rowOff>
    </xdr:from>
    <xdr:ext cx="876300" cy="9525"/>
    <xdr:sp macro="" textlink="">
      <xdr:nvSpPr>
        <xdr:cNvPr id="180" name="AutoShape 11" descr="画面制御">
          <a:extLst>
            <a:ext uri="{FF2B5EF4-FFF2-40B4-BE49-F238E27FC236}">
              <a16:creationId xmlns:a16="http://schemas.microsoft.com/office/drawing/2014/main" id="{2DEFC707-B7D9-4C66-AC1B-3DD9EB7FA09F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763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175</xdr:row>
      <xdr:rowOff>0</xdr:rowOff>
    </xdr:from>
    <xdr:ext cx="876300" cy="38100"/>
    <xdr:sp macro="" textlink="">
      <xdr:nvSpPr>
        <xdr:cNvPr id="181" name="AutoShape 12" descr="image012">
          <a:extLst>
            <a:ext uri="{FF2B5EF4-FFF2-40B4-BE49-F238E27FC236}">
              <a16:creationId xmlns:a16="http://schemas.microsoft.com/office/drawing/2014/main" id="{99C25D31-BD65-4410-B01E-162920238FC2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76300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175</xdr:row>
      <xdr:rowOff>0</xdr:rowOff>
    </xdr:from>
    <xdr:ext cx="990600" cy="9525"/>
    <xdr:sp macro="" textlink="">
      <xdr:nvSpPr>
        <xdr:cNvPr id="182" name="AutoShape 13" descr="入力説明">
          <a:extLst>
            <a:ext uri="{FF2B5EF4-FFF2-40B4-BE49-F238E27FC236}">
              <a16:creationId xmlns:a16="http://schemas.microsoft.com/office/drawing/2014/main" id="{306B8D80-E8BF-4744-ACBF-1DB7A4BE75C3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9906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175</xdr:row>
      <xdr:rowOff>0</xdr:rowOff>
    </xdr:from>
    <xdr:ext cx="1038225" cy="9525"/>
    <xdr:sp macro="" textlink="">
      <xdr:nvSpPr>
        <xdr:cNvPr id="183" name="AutoShape 14" descr="画面解除">
          <a:extLst>
            <a:ext uri="{FF2B5EF4-FFF2-40B4-BE49-F238E27FC236}">
              <a16:creationId xmlns:a16="http://schemas.microsoft.com/office/drawing/2014/main" id="{E412B2F7-404E-434E-88AC-B6B8E1AF1654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0382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175</xdr:row>
      <xdr:rowOff>0</xdr:rowOff>
    </xdr:from>
    <xdr:ext cx="819150" cy="9525"/>
    <xdr:sp macro="" textlink="">
      <xdr:nvSpPr>
        <xdr:cNvPr id="184" name="AutoShape 15" descr="データー&#10;クリア">
          <a:extLst>
            <a:ext uri="{FF2B5EF4-FFF2-40B4-BE49-F238E27FC236}">
              <a16:creationId xmlns:a16="http://schemas.microsoft.com/office/drawing/2014/main" id="{3AB329AE-CB02-49C2-AA5A-1186F8A3D4F3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191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175</xdr:row>
      <xdr:rowOff>0</xdr:rowOff>
    </xdr:from>
    <xdr:ext cx="1295400" cy="28575"/>
    <xdr:sp macro="" textlink="">
      <xdr:nvSpPr>
        <xdr:cNvPr id="185" name="AutoShape 16" descr="image016">
          <a:extLst>
            <a:ext uri="{FF2B5EF4-FFF2-40B4-BE49-F238E27FC236}">
              <a16:creationId xmlns:a16="http://schemas.microsoft.com/office/drawing/2014/main" id="{CFB536A3-2FCC-40DE-BE95-FE66151AC06F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295400" cy="285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200</xdr:row>
      <xdr:rowOff>0</xdr:rowOff>
    </xdr:from>
    <xdr:ext cx="428625" cy="9525"/>
    <xdr:sp macro="" textlink="">
      <xdr:nvSpPr>
        <xdr:cNvPr id="188" name="AutoShape 1" descr="クリア">
          <a:extLst>
            <a:ext uri="{FF2B5EF4-FFF2-40B4-BE49-F238E27FC236}">
              <a16:creationId xmlns:a16="http://schemas.microsoft.com/office/drawing/2014/main" id="{B4B3AB87-7D1C-4653-8950-934295F8170C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4286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200</xdr:row>
      <xdr:rowOff>0</xdr:rowOff>
    </xdr:from>
    <xdr:ext cx="533400" cy="9525"/>
    <xdr:sp macro="" textlink="">
      <xdr:nvSpPr>
        <xdr:cNvPr id="189" name="AutoShape 2" descr="見積書&#10;税あり">
          <a:extLst>
            <a:ext uri="{FF2B5EF4-FFF2-40B4-BE49-F238E27FC236}">
              <a16:creationId xmlns:a16="http://schemas.microsoft.com/office/drawing/2014/main" id="{0D798F5E-824C-4A06-BDFD-733A756E7D4B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200</xdr:row>
      <xdr:rowOff>0</xdr:rowOff>
    </xdr:from>
    <xdr:ext cx="523875" cy="9525"/>
    <xdr:sp macro="" textlink="">
      <xdr:nvSpPr>
        <xdr:cNvPr id="190" name="AutoShape 3" descr="内訳&#10;１ページ">
          <a:extLst>
            <a:ext uri="{FF2B5EF4-FFF2-40B4-BE49-F238E27FC236}">
              <a16:creationId xmlns:a16="http://schemas.microsoft.com/office/drawing/2014/main" id="{122848A6-AAE9-49B1-904E-1C04BAD29BCD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200</xdr:row>
      <xdr:rowOff>0</xdr:rowOff>
    </xdr:from>
    <xdr:ext cx="523875" cy="9525"/>
    <xdr:sp macro="" textlink="">
      <xdr:nvSpPr>
        <xdr:cNvPr id="191" name="AutoShape 4" descr="内訳&#10;２ページ">
          <a:extLst>
            <a:ext uri="{FF2B5EF4-FFF2-40B4-BE49-F238E27FC236}">
              <a16:creationId xmlns:a16="http://schemas.microsoft.com/office/drawing/2014/main" id="{C4387840-9AE1-4CBB-B7FE-D5C6C99DBDD4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200</xdr:row>
      <xdr:rowOff>0</xdr:rowOff>
    </xdr:from>
    <xdr:ext cx="514350" cy="9525"/>
    <xdr:sp macro="" textlink="">
      <xdr:nvSpPr>
        <xdr:cNvPr id="192" name="AutoShape 5" descr="内訳&#10;４ページ">
          <a:extLst>
            <a:ext uri="{FF2B5EF4-FFF2-40B4-BE49-F238E27FC236}">
              <a16:creationId xmlns:a16="http://schemas.microsoft.com/office/drawing/2014/main" id="{50C092A6-D280-4A5D-95B3-06247F12DD70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200</xdr:row>
      <xdr:rowOff>0</xdr:rowOff>
    </xdr:from>
    <xdr:ext cx="514350" cy="9525"/>
    <xdr:sp macro="" textlink="">
      <xdr:nvSpPr>
        <xdr:cNvPr id="193" name="AutoShape 6" descr="内訳&#10;３ページ">
          <a:extLst>
            <a:ext uri="{FF2B5EF4-FFF2-40B4-BE49-F238E27FC236}">
              <a16:creationId xmlns:a16="http://schemas.microsoft.com/office/drawing/2014/main" id="{46891E04-DC93-46D0-B465-98D43202137C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200</xdr:row>
      <xdr:rowOff>0</xdr:rowOff>
    </xdr:from>
    <xdr:ext cx="771525" cy="9525"/>
    <xdr:sp macro="" textlink="">
      <xdr:nvSpPr>
        <xdr:cNvPr id="194" name="AutoShape 7" descr="内訳&#10;５ページ">
          <a:extLst>
            <a:ext uri="{FF2B5EF4-FFF2-40B4-BE49-F238E27FC236}">
              <a16:creationId xmlns:a16="http://schemas.microsoft.com/office/drawing/2014/main" id="{5FB17DBC-7379-4BBE-A5EA-CDA93F14C45D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7715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200</xdr:row>
      <xdr:rowOff>0</xdr:rowOff>
    </xdr:from>
    <xdr:ext cx="561975" cy="9525"/>
    <xdr:sp macro="" textlink="">
      <xdr:nvSpPr>
        <xdr:cNvPr id="195" name="AutoShape 8" descr="内訳&#10;６ページ">
          <a:extLst>
            <a:ext uri="{FF2B5EF4-FFF2-40B4-BE49-F238E27FC236}">
              <a16:creationId xmlns:a16="http://schemas.microsoft.com/office/drawing/2014/main" id="{61C8B042-753A-4BFB-805E-87AA52105395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619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200</xdr:row>
      <xdr:rowOff>0</xdr:rowOff>
    </xdr:from>
    <xdr:ext cx="533400" cy="9525"/>
    <xdr:sp macro="" textlink="">
      <xdr:nvSpPr>
        <xdr:cNvPr id="196" name="AutoShape 9" descr="見積書&#10;税なし">
          <a:extLst>
            <a:ext uri="{FF2B5EF4-FFF2-40B4-BE49-F238E27FC236}">
              <a16:creationId xmlns:a16="http://schemas.microsoft.com/office/drawing/2014/main" id="{E080632F-6709-4DBD-8AEB-D2F2DC29F484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200</xdr:row>
      <xdr:rowOff>0</xdr:rowOff>
    </xdr:from>
    <xdr:ext cx="876300" cy="9525"/>
    <xdr:sp macro="" textlink="">
      <xdr:nvSpPr>
        <xdr:cNvPr id="198" name="AutoShape 11" descr="画面制御">
          <a:extLst>
            <a:ext uri="{FF2B5EF4-FFF2-40B4-BE49-F238E27FC236}">
              <a16:creationId xmlns:a16="http://schemas.microsoft.com/office/drawing/2014/main" id="{B6493E08-2649-423A-BBF5-CBEA21FD5C7F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763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200</xdr:row>
      <xdr:rowOff>0</xdr:rowOff>
    </xdr:from>
    <xdr:ext cx="876300" cy="38100"/>
    <xdr:sp macro="" textlink="">
      <xdr:nvSpPr>
        <xdr:cNvPr id="199" name="AutoShape 12" descr="image012">
          <a:extLst>
            <a:ext uri="{FF2B5EF4-FFF2-40B4-BE49-F238E27FC236}">
              <a16:creationId xmlns:a16="http://schemas.microsoft.com/office/drawing/2014/main" id="{34D42480-4C49-4208-A45D-66C152E69A8F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76300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200</xdr:row>
      <xdr:rowOff>0</xdr:rowOff>
    </xdr:from>
    <xdr:ext cx="990600" cy="9525"/>
    <xdr:sp macro="" textlink="">
      <xdr:nvSpPr>
        <xdr:cNvPr id="200" name="AutoShape 13" descr="入力説明">
          <a:extLst>
            <a:ext uri="{FF2B5EF4-FFF2-40B4-BE49-F238E27FC236}">
              <a16:creationId xmlns:a16="http://schemas.microsoft.com/office/drawing/2014/main" id="{FE6054B0-F080-4A25-B2A9-CADCAA37057D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9906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200</xdr:row>
      <xdr:rowOff>0</xdr:rowOff>
    </xdr:from>
    <xdr:ext cx="1038225" cy="9525"/>
    <xdr:sp macro="" textlink="">
      <xdr:nvSpPr>
        <xdr:cNvPr id="201" name="AutoShape 14" descr="画面解除">
          <a:extLst>
            <a:ext uri="{FF2B5EF4-FFF2-40B4-BE49-F238E27FC236}">
              <a16:creationId xmlns:a16="http://schemas.microsoft.com/office/drawing/2014/main" id="{1E17586A-8349-4A98-8DD9-531033FB4B30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0382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200</xdr:row>
      <xdr:rowOff>0</xdr:rowOff>
    </xdr:from>
    <xdr:ext cx="819150" cy="9525"/>
    <xdr:sp macro="" textlink="">
      <xdr:nvSpPr>
        <xdr:cNvPr id="202" name="AutoShape 15" descr="データー&#10;クリア">
          <a:extLst>
            <a:ext uri="{FF2B5EF4-FFF2-40B4-BE49-F238E27FC236}">
              <a16:creationId xmlns:a16="http://schemas.microsoft.com/office/drawing/2014/main" id="{12D589DC-5CA3-4506-AEB1-74050716229D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191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200</xdr:row>
      <xdr:rowOff>0</xdr:rowOff>
    </xdr:from>
    <xdr:ext cx="1295400" cy="28575"/>
    <xdr:sp macro="" textlink="">
      <xdr:nvSpPr>
        <xdr:cNvPr id="203" name="AutoShape 16" descr="image016">
          <a:extLst>
            <a:ext uri="{FF2B5EF4-FFF2-40B4-BE49-F238E27FC236}">
              <a16:creationId xmlns:a16="http://schemas.microsoft.com/office/drawing/2014/main" id="{E961C423-958E-485A-BB87-3FEDB3F965B4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295400" cy="285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225</xdr:row>
      <xdr:rowOff>0</xdr:rowOff>
    </xdr:from>
    <xdr:ext cx="428625" cy="9525"/>
    <xdr:sp macro="" textlink="">
      <xdr:nvSpPr>
        <xdr:cNvPr id="206" name="AutoShape 1" descr="クリア">
          <a:extLst>
            <a:ext uri="{FF2B5EF4-FFF2-40B4-BE49-F238E27FC236}">
              <a16:creationId xmlns:a16="http://schemas.microsoft.com/office/drawing/2014/main" id="{5FF58BCB-6C47-455F-87C5-E68A778504A2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4286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225</xdr:row>
      <xdr:rowOff>0</xdr:rowOff>
    </xdr:from>
    <xdr:ext cx="533400" cy="9525"/>
    <xdr:sp macro="" textlink="">
      <xdr:nvSpPr>
        <xdr:cNvPr id="207" name="AutoShape 2" descr="見積書&#10;税あり">
          <a:extLst>
            <a:ext uri="{FF2B5EF4-FFF2-40B4-BE49-F238E27FC236}">
              <a16:creationId xmlns:a16="http://schemas.microsoft.com/office/drawing/2014/main" id="{1267C84B-1333-4168-98C2-2B842B96F7F4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225</xdr:row>
      <xdr:rowOff>0</xdr:rowOff>
    </xdr:from>
    <xdr:ext cx="523875" cy="9525"/>
    <xdr:sp macro="" textlink="">
      <xdr:nvSpPr>
        <xdr:cNvPr id="208" name="AutoShape 3" descr="内訳&#10;１ページ">
          <a:extLst>
            <a:ext uri="{FF2B5EF4-FFF2-40B4-BE49-F238E27FC236}">
              <a16:creationId xmlns:a16="http://schemas.microsoft.com/office/drawing/2014/main" id="{3BAF61FD-AD98-430B-BC43-B61B2071CB52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225</xdr:row>
      <xdr:rowOff>0</xdr:rowOff>
    </xdr:from>
    <xdr:ext cx="523875" cy="9525"/>
    <xdr:sp macro="" textlink="">
      <xdr:nvSpPr>
        <xdr:cNvPr id="209" name="AutoShape 4" descr="内訳&#10;２ページ">
          <a:extLst>
            <a:ext uri="{FF2B5EF4-FFF2-40B4-BE49-F238E27FC236}">
              <a16:creationId xmlns:a16="http://schemas.microsoft.com/office/drawing/2014/main" id="{861108C3-A330-4BA1-85C2-4E71D45251EC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238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225</xdr:row>
      <xdr:rowOff>0</xdr:rowOff>
    </xdr:from>
    <xdr:ext cx="514350" cy="9525"/>
    <xdr:sp macro="" textlink="">
      <xdr:nvSpPr>
        <xdr:cNvPr id="210" name="AutoShape 5" descr="内訳&#10;４ページ">
          <a:extLst>
            <a:ext uri="{FF2B5EF4-FFF2-40B4-BE49-F238E27FC236}">
              <a16:creationId xmlns:a16="http://schemas.microsoft.com/office/drawing/2014/main" id="{8AAA3DE1-7F86-4113-AF64-2F3BA3A2E687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225</xdr:row>
      <xdr:rowOff>0</xdr:rowOff>
    </xdr:from>
    <xdr:ext cx="514350" cy="9525"/>
    <xdr:sp macro="" textlink="">
      <xdr:nvSpPr>
        <xdr:cNvPr id="211" name="AutoShape 6" descr="内訳&#10;３ページ">
          <a:extLst>
            <a:ext uri="{FF2B5EF4-FFF2-40B4-BE49-F238E27FC236}">
              <a16:creationId xmlns:a16="http://schemas.microsoft.com/office/drawing/2014/main" id="{DF7851C8-B63B-46D7-B97D-6D1401133162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143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225</xdr:row>
      <xdr:rowOff>0</xdr:rowOff>
    </xdr:from>
    <xdr:ext cx="771525" cy="9525"/>
    <xdr:sp macro="" textlink="">
      <xdr:nvSpPr>
        <xdr:cNvPr id="212" name="AutoShape 7" descr="内訳&#10;５ページ">
          <a:extLst>
            <a:ext uri="{FF2B5EF4-FFF2-40B4-BE49-F238E27FC236}">
              <a16:creationId xmlns:a16="http://schemas.microsoft.com/office/drawing/2014/main" id="{4DF422E8-1DD6-432C-AAEF-DBCBB65687A2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7715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225</xdr:row>
      <xdr:rowOff>0</xdr:rowOff>
    </xdr:from>
    <xdr:ext cx="561975" cy="9525"/>
    <xdr:sp macro="" textlink="">
      <xdr:nvSpPr>
        <xdr:cNvPr id="213" name="AutoShape 8" descr="内訳&#10;６ページ">
          <a:extLst>
            <a:ext uri="{FF2B5EF4-FFF2-40B4-BE49-F238E27FC236}">
              <a16:creationId xmlns:a16="http://schemas.microsoft.com/office/drawing/2014/main" id="{1C7275CF-C6BE-4B20-B928-158071003E71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6197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225</xdr:row>
      <xdr:rowOff>0</xdr:rowOff>
    </xdr:from>
    <xdr:ext cx="533400" cy="9525"/>
    <xdr:sp macro="" textlink="">
      <xdr:nvSpPr>
        <xdr:cNvPr id="214" name="AutoShape 9" descr="見積書&#10;税なし">
          <a:extLst>
            <a:ext uri="{FF2B5EF4-FFF2-40B4-BE49-F238E27FC236}">
              <a16:creationId xmlns:a16="http://schemas.microsoft.com/office/drawing/2014/main" id="{A4E4D399-B2A9-4DD6-8197-8CBDA4B8F55E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5334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225</xdr:row>
      <xdr:rowOff>0</xdr:rowOff>
    </xdr:from>
    <xdr:ext cx="876300" cy="9525"/>
    <xdr:sp macro="" textlink="">
      <xdr:nvSpPr>
        <xdr:cNvPr id="216" name="AutoShape 11" descr="画面制御">
          <a:extLst>
            <a:ext uri="{FF2B5EF4-FFF2-40B4-BE49-F238E27FC236}">
              <a16:creationId xmlns:a16="http://schemas.microsoft.com/office/drawing/2014/main" id="{CB7F9DCE-071A-4685-99E9-7ECFC7418D29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763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225</xdr:row>
      <xdr:rowOff>0</xdr:rowOff>
    </xdr:from>
    <xdr:ext cx="876300" cy="38100"/>
    <xdr:sp macro="" textlink="">
      <xdr:nvSpPr>
        <xdr:cNvPr id="217" name="AutoShape 12" descr="image012">
          <a:extLst>
            <a:ext uri="{FF2B5EF4-FFF2-40B4-BE49-F238E27FC236}">
              <a16:creationId xmlns:a16="http://schemas.microsoft.com/office/drawing/2014/main" id="{926966A9-FCF3-4B6A-9B28-F6573412B9A2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76300" cy="38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225</xdr:row>
      <xdr:rowOff>0</xdr:rowOff>
    </xdr:from>
    <xdr:ext cx="990600" cy="9525"/>
    <xdr:sp macro="" textlink="">
      <xdr:nvSpPr>
        <xdr:cNvPr id="218" name="AutoShape 13" descr="入力説明">
          <a:extLst>
            <a:ext uri="{FF2B5EF4-FFF2-40B4-BE49-F238E27FC236}">
              <a16:creationId xmlns:a16="http://schemas.microsoft.com/office/drawing/2014/main" id="{D128F284-E21E-4A73-A102-9F253EED06F0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9906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225</xdr:row>
      <xdr:rowOff>0</xdr:rowOff>
    </xdr:from>
    <xdr:ext cx="1038225" cy="9525"/>
    <xdr:sp macro="" textlink="">
      <xdr:nvSpPr>
        <xdr:cNvPr id="219" name="AutoShape 14" descr="画面解除">
          <a:extLst>
            <a:ext uri="{FF2B5EF4-FFF2-40B4-BE49-F238E27FC236}">
              <a16:creationId xmlns:a16="http://schemas.microsoft.com/office/drawing/2014/main" id="{B78B252F-4839-4D57-BF65-71068BA03C1D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0382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225</xdr:row>
      <xdr:rowOff>0</xdr:rowOff>
    </xdr:from>
    <xdr:ext cx="819150" cy="9525"/>
    <xdr:sp macro="" textlink="">
      <xdr:nvSpPr>
        <xdr:cNvPr id="220" name="AutoShape 15" descr="データー&#10;クリア">
          <a:extLst>
            <a:ext uri="{FF2B5EF4-FFF2-40B4-BE49-F238E27FC236}">
              <a16:creationId xmlns:a16="http://schemas.microsoft.com/office/drawing/2014/main" id="{850012E3-6F6A-418E-9573-C21AE507638A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8191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225</xdr:row>
      <xdr:rowOff>0</xdr:rowOff>
    </xdr:from>
    <xdr:ext cx="1295400" cy="28575"/>
    <xdr:sp macro="" textlink="">
      <xdr:nvSpPr>
        <xdr:cNvPr id="221" name="AutoShape 16" descr="image016">
          <a:extLst>
            <a:ext uri="{FF2B5EF4-FFF2-40B4-BE49-F238E27FC236}">
              <a16:creationId xmlns:a16="http://schemas.microsoft.com/office/drawing/2014/main" id="{BBD0FB14-E2BC-4AF5-A333-2A9702A3E1F8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1295400" cy="285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552450</xdr:colOff>
      <xdr:row>1</xdr:row>
      <xdr:rowOff>0</xdr:rowOff>
    </xdr:from>
    <xdr:ext cx="819150" cy="9525"/>
    <xdr:sp macro="" textlink="">
      <xdr:nvSpPr>
        <xdr:cNvPr id="2" name="AutoShape 15" descr="データー&#10;クリア">
          <a:extLst>
            <a:ext uri="{FF2B5EF4-FFF2-40B4-BE49-F238E27FC236}">
              <a16:creationId xmlns:a16="http://schemas.microsoft.com/office/drawing/2014/main" id="{767F36A2-E877-4834-B24C-358E1D236927}"/>
            </a:ext>
          </a:extLst>
        </xdr:cNvPr>
        <xdr:cNvSpPr>
          <a:spLocks noChangeAspect="1" noChangeArrowheads="1"/>
        </xdr:cNvSpPr>
      </xdr:nvSpPr>
      <xdr:spPr bwMode="auto">
        <a:xfrm>
          <a:off x="2933700" y="419100"/>
          <a:ext cx="8191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0</xdr:colOff>
      <xdr:row>1</xdr:row>
      <xdr:rowOff>0</xdr:rowOff>
    </xdr:from>
    <xdr:ext cx="876300" cy="9525"/>
    <xdr:sp macro="" textlink="">
      <xdr:nvSpPr>
        <xdr:cNvPr id="3" name="AutoShape 11" descr="画面制御">
          <a:extLst>
            <a:ext uri="{FF2B5EF4-FFF2-40B4-BE49-F238E27FC236}">
              <a16:creationId xmlns:a16="http://schemas.microsoft.com/office/drawing/2014/main" id="{2F5FA31E-5193-454D-96AE-4EE0902B3839}"/>
            </a:ext>
          </a:extLst>
        </xdr:cNvPr>
        <xdr:cNvSpPr>
          <a:spLocks noChangeAspect="1" noChangeArrowheads="1"/>
        </xdr:cNvSpPr>
      </xdr:nvSpPr>
      <xdr:spPr bwMode="auto">
        <a:xfrm>
          <a:off x="1190625" y="419100"/>
          <a:ext cx="8763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0</xdr:colOff>
      <xdr:row>1</xdr:row>
      <xdr:rowOff>0</xdr:rowOff>
    </xdr:from>
    <xdr:ext cx="990600" cy="9525"/>
    <xdr:sp macro="" textlink="">
      <xdr:nvSpPr>
        <xdr:cNvPr id="4" name="AutoShape 13" descr="入力説明">
          <a:extLst>
            <a:ext uri="{FF2B5EF4-FFF2-40B4-BE49-F238E27FC236}">
              <a16:creationId xmlns:a16="http://schemas.microsoft.com/office/drawing/2014/main" id="{A4081825-F05E-42AB-9C64-53A8B751A9B1}"/>
            </a:ext>
          </a:extLst>
        </xdr:cNvPr>
        <xdr:cNvSpPr>
          <a:spLocks noChangeAspect="1" noChangeArrowheads="1"/>
        </xdr:cNvSpPr>
      </xdr:nvSpPr>
      <xdr:spPr bwMode="auto">
        <a:xfrm>
          <a:off x="1190625" y="419100"/>
          <a:ext cx="99060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0</xdr:colOff>
      <xdr:row>1</xdr:row>
      <xdr:rowOff>0</xdr:rowOff>
    </xdr:from>
    <xdr:ext cx="1038225" cy="9525"/>
    <xdr:sp macro="" textlink="">
      <xdr:nvSpPr>
        <xdr:cNvPr id="5" name="AutoShape 14" descr="画面解除">
          <a:extLst>
            <a:ext uri="{FF2B5EF4-FFF2-40B4-BE49-F238E27FC236}">
              <a16:creationId xmlns:a16="http://schemas.microsoft.com/office/drawing/2014/main" id="{AC20D443-987C-49AA-9ABE-77AE2EDDFD8E}"/>
            </a:ext>
          </a:extLst>
        </xdr:cNvPr>
        <xdr:cNvSpPr>
          <a:spLocks noChangeAspect="1" noChangeArrowheads="1"/>
        </xdr:cNvSpPr>
      </xdr:nvSpPr>
      <xdr:spPr bwMode="auto">
        <a:xfrm>
          <a:off x="1190625" y="419100"/>
          <a:ext cx="1038225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552450</xdr:colOff>
      <xdr:row>1</xdr:row>
      <xdr:rowOff>0</xdr:rowOff>
    </xdr:from>
    <xdr:ext cx="819150" cy="9525"/>
    <xdr:sp macro="" textlink="">
      <xdr:nvSpPr>
        <xdr:cNvPr id="6" name="AutoShape 15" descr="データー&#10;クリア">
          <a:extLst>
            <a:ext uri="{FF2B5EF4-FFF2-40B4-BE49-F238E27FC236}">
              <a16:creationId xmlns:a16="http://schemas.microsoft.com/office/drawing/2014/main" id="{1FAAC49E-562A-4F96-BF34-803CD2CFA01C}"/>
            </a:ext>
          </a:extLst>
        </xdr:cNvPr>
        <xdr:cNvSpPr>
          <a:spLocks noChangeAspect="1" noChangeArrowheads="1"/>
        </xdr:cNvSpPr>
      </xdr:nvSpPr>
      <xdr:spPr bwMode="auto">
        <a:xfrm>
          <a:off x="4124325" y="419100"/>
          <a:ext cx="81915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D516-5A64-43DD-A762-0BD21AF258EB}">
  <dimension ref="A5:IF562"/>
  <sheetViews>
    <sheetView tabSelected="1" view="pageBreakPreview" zoomScaleNormal="100" zoomScaleSheetLayoutView="100" workbookViewId="0">
      <selection activeCell="I27" sqref="I27"/>
    </sheetView>
  </sheetViews>
  <sheetFormatPr defaultRowHeight="13.5" x14ac:dyDescent="0.15"/>
  <cols>
    <col min="1" max="1" width="4.125" customWidth="1"/>
    <col min="2" max="2" width="23.75" style="4" customWidth="1"/>
    <col min="3" max="3" width="8.375" customWidth="1"/>
    <col min="4" max="4" width="10.625" customWidth="1"/>
    <col min="5" max="5" width="24.25" customWidth="1"/>
    <col min="6" max="6" width="0.125" hidden="1" customWidth="1"/>
    <col min="7" max="7" width="9.875" customWidth="1"/>
    <col min="8" max="8" width="6.375" style="5" customWidth="1"/>
    <col min="9" max="9" width="13" customWidth="1"/>
    <col min="10" max="11" width="10.625" customWidth="1"/>
    <col min="12" max="12" width="17" customWidth="1"/>
  </cols>
  <sheetData>
    <row r="5" spans="1:240" ht="15" x14ac:dyDescent="0.2">
      <c r="A5" s="46"/>
      <c r="B5" s="47"/>
      <c r="C5" s="48"/>
      <c r="D5" s="48"/>
      <c r="E5" s="48"/>
      <c r="F5" s="48"/>
      <c r="G5" s="48"/>
      <c r="H5" s="47"/>
      <c r="I5" s="47"/>
      <c r="J5" s="47"/>
      <c r="K5" s="49"/>
      <c r="L5" s="50"/>
      <c r="M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</row>
    <row r="6" spans="1:240" ht="34.5" customHeight="1" x14ac:dyDescent="0.15">
      <c r="A6" s="51" t="s">
        <v>0</v>
      </c>
      <c r="B6" s="52"/>
      <c r="C6" s="52"/>
      <c r="D6" s="52"/>
      <c r="E6" s="52"/>
      <c r="F6" s="52"/>
      <c r="G6" s="52"/>
      <c r="H6" s="52"/>
      <c r="I6" s="52"/>
      <c r="J6" s="52"/>
      <c r="K6" s="52"/>
      <c r="L6" s="53"/>
      <c r="M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</row>
    <row r="7" spans="1:240" ht="15" customHeight="1" x14ac:dyDescent="0.2">
      <c r="A7" s="54"/>
      <c r="B7" s="55"/>
      <c r="C7" s="55"/>
      <c r="D7" s="56" t="s">
        <v>25</v>
      </c>
      <c r="E7" s="57"/>
      <c r="F7" s="57"/>
      <c r="G7" s="57"/>
      <c r="H7" s="58"/>
      <c r="I7" s="57"/>
      <c r="J7" s="59">
        <f ca="1">TODAY()</f>
        <v>46288</v>
      </c>
      <c r="K7" s="59"/>
      <c r="L7" s="60"/>
      <c r="M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</row>
    <row r="8" spans="1:240" ht="15" customHeight="1" x14ac:dyDescent="0.2">
      <c r="A8" s="54"/>
      <c r="B8" s="61"/>
      <c r="C8" s="61"/>
      <c r="D8" s="62"/>
      <c r="E8" s="57"/>
      <c r="F8" s="57"/>
      <c r="G8" s="57"/>
      <c r="H8" s="58"/>
      <c r="I8" s="57"/>
      <c r="J8" s="63"/>
      <c r="K8" s="63"/>
      <c r="L8" s="60"/>
      <c r="M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</row>
    <row r="9" spans="1:240" ht="12" customHeight="1" x14ac:dyDescent="0.2">
      <c r="A9" s="54"/>
      <c r="B9" s="64"/>
      <c r="C9" s="64"/>
      <c r="D9" s="57"/>
      <c r="E9" s="57"/>
      <c r="F9" s="57"/>
      <c r="G9" s="57"/>
      <c r="H9" s="58"/>
      <c r="I9" s="57"/>
      <c r="J9" s="63"/>
      <c r="K9" s="63"/>
      <c r="L9" s="60"/>
      <c r="M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</row>
    <row r="10" spans="1:240" ht="15.75" customHeight="1" x14ac:dyDescent="0.2">
      <c r="A10" s="54"/>
      <c r="B10" s="65" t="s">
        <v>1</v>
      </c>
      <c r="C10" s="65"/>
      <c r="D10" s="65"/>
      <c r="E10" s="65"/>
      <c r="F10" s="57"/>
      <c r="G10" s="65"/>
      <c r="H10" s="66"/>
      <c r="I10" s="67" t="s">
        <v>2</v>
      </c>
      <c r="J10" s="58"/>
      <c r="K10" s="65"/>
      <c r="L10" s="68"/>
      <c r="M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</row>
    <row r="11" spans="1:240" ht="10.5" customHeight="1" x14ac:dyDescent="0.2">
      <c r="A11" s="54"/>
      <c r="B11" s="65"/>
      <c r="C11" s="65"/>
      <c r="D11" s="65"/>
      <c r="E11" s="65"/>
      <c r="F11" s="57"/>
      <c r="G11" s="65"/>
      <c r="H11" s="66"/>
      <c r="I11" s="67"/>
      <c r="J11" s="58"/>
      <c r="K11" s="65"/>
      <c r="L11" s="68"/>
      <c r="M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</row>
    <row r="12" spans="1:240" ht="18.75" customHeight="1" x14ac:dyDescent="0.2">
      <c r="A12" s="54"/>
      <c r="B12" s="69" t="s">
        <v>3</v>
      </c>
      <c r="C12" s="70">
        <f>J33</f>
        <v>0</v>
      </c>
      <c r="D12" s="70"/>
      <c r="E12" s="70"/>
      <c r="F12" s="57"/>
      <c r="G12" s="57"/>
      <c r="H12" s="66"/>
      <c r="I12" s="67" t="s">
        <v>80</v>
      </c>
      <c r="J12" s="58"/>
      <c r="K12" s="65"/>
      <c r="L12" s="68"/>
      <c r="M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</row>
    <row r="13" spans="1:240" ht="15" customHeight="1" x14ac:dyDescent="0.2">
      <c r="A13" s="54"/>
      <c r="B13" s="71"/>
      <c r="C13" s="72"/>
      <c r="D13" s="72"/>
      <c r="E13" s="72"/>
      <c r="F13" s="73"/>
      <c r="G13" s="74"/>
      <c r="H13" s="75"/>
      <c r="I13" s="67" t="s">
        <v>26</v>
      </c>
      <c r="J13" s="58"/>
      <c r="K13" s="65"/>
      <c r="L13" s="68"/>
      <c r="M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</row>
    <row r="14" spans="1:240" ht="17.25" x14ac:dyDescent="0.2">
      <c r="A14" s="54"/>
      <c r="B14" s="57"/>
      <c r="C14" s="57"/>
      <c r="D14" s="57"/>
      <c r="E14" s="65"/>
      <c r="F14" s="65"/>
      <c r="G14" s="57"/>
      <c r="H14" s="58"/>
      <c r="I14" s="76" t="s">
        <v>20</v>
      </c>
      <c r="J14" s="75"/>
      <c r="K14" s="77"/>
      <c r="L14" s="68"/>
      <c r="M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</row>
    <row r="15" spans="1:240" ht="14.25" x14ac:dyDescent="0.2">
      <c r="A15" s="54"/>
      <c r="B15" s="78" t="s">
        <v>21</v>
      </c>
      <c r="C15" s="79"/>
      <c r="D15" s="80"/>
      <c r="E15" s="81"/>
      <c r="F15" s="57"/>
      <c r="G15" s="57"/>
      <c r="H15" s="58"/>
      <c r="I15" s="82" t="s">
        <v>4</v>
      </c>
      <c r="J15" s="82"/>
      <c r="K15" s="83"/>
      <c r="L15" s="68"/>
      <c r="M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</row>
    <row r="16" spans="1:240" ht="14.25" x14ac:dyDescent="0.2">
      <c r="A16" s="54"/>
      <c r="B16" s="84"/>
      <c r="C16" s="85"/>
      <c r="D16" s="86"/>
      <c r="E16" s="87"/>
      <c r="F16" s="57"/>
      <c r="G16" s="57"/>
      <c r="H16" s="58"/>
      <c r="I16" s="88" t="s">
        <v>5</v>
      </c>
      <c r="J16" s="88"/>
      <c r="K16" s="88"/>
      <c r="L16" s="68"/>
      <c r="M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</row>
    <row r="17" spans="1:240" ht="14.25" x14ac:dyDescent="0.2">
      <c r="A17" s="54"/>
      <c r="B17" s="89" t="s">
        <v>91</v>
      </c>
      <c r="C17" s="90"/>
      <c r="D17" s="91"/>
      <c r="E17" s="92"/>
      <c r="F17" s="57"/>
      <c r="G17" s="57"/>
      <c r="H17" s="58"/>
      <c r="I17" s="93" t="s">
        <v>6</v>
      </c>
      <c r="J17" s="93"/>
      <c r="K17" s="65"/>
      <c r="L17" s="68"/>
      <c r="M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</row>
    <row r="18" spans="1:240" ht="14.25" x14ac:dyDescent="0.2">
      <c r="A18" s="54"/>
      <c r="B18" s="89" t="s">
        <v>7</v>
      </c>
      <c r="C18" s="94" t="s">
        <v>92</v>
      </c>
      <c r="D18" s="95"/>
      <c r="E18" s="96"/>
      <c r="F18" s="88"/>
      <c r="G18" s="82"/>
      <c r="H18" s="97"/>
      <c r="I18" s="67"/>
      <c r="J18" s="82"/>
      <c r="K18" s="82"/>
      <c r="L18" s="98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</row>
    <row r="19" spans="1:240" ht="14.25" x14ac:dyDescent="0.2">
      <c r="A19" s="54"/>
      <c r="B19" s="99" t="s">
        <v>8</v>
      </c>
      <c r="C19" s="100" t="s">
        <v>9</v>
      </c>
      <c r="D19" s="101"/>
      <c r="E19" s="102"/>
      <c r="F19" s="103"/>
      <c r="G19" s="103"/>
      <c r="H19" s="104"/>
      <c r="I19" s="67"/>
      <c r="J19" s="65"/>
      <c r="K19" s="82"/>
      <c r="L19" s="68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</row>
    <row r="20" spans="1:240" ht="14.25" x14ac:dyDescent="0.2">
      <c r="A20" s="54"/>
      <c r="B20" s="57"/>
      <c r="C20" s="57"/>
      <c r="D20" s="57"/>
      <c r="E20" s="105"/>
      <c r="F20" s="57"/>
      <c r="G20" s="57"/>
      <c r="H20" s="58"/>
      <c r="I20" s="67"/>
      <c r="J20" s="58"/>
      <c r="K20" s="82"/>
      <c r="L20" s="106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</row>
    <row r="21" spans="1:240" ht="14.25" thickBot="1" x14ac:dyDescent="0.25">
      <c r="A21" s="107"/>
      <c r="B21" s="108" t="s">
        <v>10</v>
      </c>
      <c r="C21" s="109"/>
      <c r="D21" s="107" t="s">
        <v>11</v>
      </c>
      <c r="E21" s="110"/>
      <c r="F21" s="111" t="s">
        <v>12</v>
      </c>
      <c r="G21" s="112"/>
      <c r="H21" s="113" t="s">
        <v>13</v>
      </c>
      <c r="I21" s="113" t="s">
        <v>14</v>
      </c>
      <c r="J21" s="114" t="s">
        <v>15</v>
      </c>
      <c r="K21" s="115"/>
      <c r="L21" s="113" t="s">
        <v>16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</row>
    <row r="22" spans="1:240" ht="20.25" thickTop="1" x14ac:dyDescent="0.35">
      <c r="A22" s="116"/>
      <c r="B22" s="160"/>
      <c r="C22" s="129"/>
      <c r="D22" s="117"/>
      <c r="E22" s="118"/>
      <c r="F22" s="119"/>
      <c r="G22" s="120"/>
      <c r="H22" s="121"/>
      <c r="I22" s="122"/>
      <c r="J22" s="123">
        <f>G22*I22</f>
        <v>0</v>
      </c>
      <c r="K22" s="124"/>
      <c r="L22" s="125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</row>
    <row r="23" spans="1:240" ht="19.5" x14ac:dyDescent="0.35">
      <c r="A23" s="116"/>
      <c r="B23" s="159"/>
      <c r="C23" s="129"/>
      <c r="D23" s="117"/>
      <c r="E23" s="118"/>
      <c r="F23" s="119"/>
      <c r="G23" s="120"/>
      <c r="H23" s="121"/>
      <c r="I23" s="122"/>
      <c r="J23" s="126">
        <f t="shared" ref="J23:J32" si="0">G23*I23</f>
        <v>0</v>
      </c>
      <c r="K23" s="127"/>
      <c r="L23" s="125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</row>
    <row r="24" spans="1:240" ht="19.5" x14ac:dyDescent="0.35">
      <c r="A24" s="116"/>
      <c r="B24" s="128"/>
      <c r="C24" s="129"/>
      <c r="D24" s="117"/>
      <c r="E24" s="118"/>
      <c r="F24" s="120"/>
      <c r="G24" s="120"/>
      <c r="H24" s="121"/>
      <c r="I24" s="122"/>
      <c r="J24" s="126">
        <f t="shared" si="0"/>
        <v>0</v>
      </c>
      <c r="K24" s="127"/>
      <c r="L24" s="125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</row>
    <row r="25" spans="1:240" ht="19.5" x14ac:dyDescent="0.35">
      <c r="A25" s="116"/>
      <c r="B25" s="128"/>
      <c r="C25" s="129"/>
      <c r="D25" s="117"/>
      <c r="E25" s="118"/>
      <c r="F25" s="130"/>
      <c r="G25" s="131"/>
      <c r="H25" s="121"/>
      <c r="I25" s="122"/>
      <c r="J25" s="126">
        <f t="shared" si="0"/>
        <v>0</v>
      </c>
      <c r="K25" s="127"/>
      <c r="L25" s="125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</row>
    <row r="26" spans="1:240" ht="19.5" x14ac:dyDescent="0.35">
      <c r="A26" s="116"/>
      <c r="B26" s="128"/>
      <c r="C26" s="129"/>
      <c r="D26" s="117"/>
      <c r="E26" s="118"/>
      <c r="F26" s="120"/>
      <c r="G26" s="120"/>
      <c r="H26" s="121"/>
      <c r="I26" s="122"/>
      <c r="J26" s="126">
        <f t="shared" si="0"/>
        <v>0</v>
      </c>
      <c r="K26" s="127"/>
      <c r="L26" s="125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</row>
    <row r="27" spans="1:240" ht="19.5" x14ac:dyDescent="0.35">
      <c r="A27" s="116"/>
      <c r="B27" s="128"/>
      <c r="C27" s="129"/>
      <c r="D27" s="117"/>
      <c r="E27" s="118"/>
      <c r="F27" s="120"/>
      <c r="G27" s="120"/>
      <c r="H27" s="121"/>
      <c r="I27" s="122"/>
      <c r="J27" s="126">
        <f t="shared" si="0"/>
        <v>0</v>
      </c>
      <c r="K27" s="127"/>
      <c r="L27" s="132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</row>
    <row r="28" spans="1:240" ht="19.5" x14ac:dyDescent="0.35">
      <c r="A28" s="116"/>
      <c r="B28" s="128"/>
      <c r="C28" s="129"/>
      <c r="D28" s="117"/>
      <c r="E28" s="118"/>
      <c r="F28" s="120"/>
      <c r="G28" s="120"/>
      <c r="H28" s="121"/>
      <c r="I28" s="122"/>
      <c r="J28" s="126">
        <f>G28*I28</f>
        <v>0</v>
      </c>
      <c r="K28" s="127"/>
      <c r="L28" s="132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</row>
    <row r="29" spans="1:240" ht="19.5" x14ac:dyDescent="0.35">
      <c r="A29" s="116"/>
      <c r="B29" s="128"/>
      <c r="C29" s="129"/>
      <c r="D29" s="117"/>
      <c r="E29" s="118"/>
      <c r="F29" s="120"/>
      <c r="G29" s="120"/>
      <c r="H29" s="121"/>
      <c r="I29" s="122"/>
      <c r="J29" s="126">
        <f t="shared" si="0"/>
        <v>0</v>
      </c>
      <c r="K29" s="127"/>
      <c r="L29" s="132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</row>
    <row r="30" spans="1:240" ht="19.5" x14ac:dyDescent="0.35">
      <c r="A30" s="116"/>
      <c r="B30" s="128"/>
      <c r="C30" s="129"/>
      <c r="D30" s="117"/>
      <c r="E30" s="118"/>
      <c r="F30" s="120"/>
      <c r="G30" s="120"/>
      <c r="H30" s="121"/>
      <c r="I30" s="122"/>
      <c r="J30" s="126">
        <f t="shared" si="0"/>
        <v>0</v>
      </c>
      <c r="K30" s="127"/>
      <c r="L30" s="132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</row>
    <row r="31" spans="1:240" ht="19.5" x14ac:dyDescent="0.35">
      <c r="A31" s="116"/>
      <c r="B31" s="128"/>
      <c r="C31" s="129"/>
      <c r="D31" s="117" t="s">
        <v>24</v>
      </c>
      <c r="E31" s="118"/>
      <c r="F31" s="120"/>
      <c r="G31" s="120"/>
      <c r="H31" s="121"/>
      <c r="I31" s="122"/>
      <c r="J31" s="126">
        <f t="shared" si="0"/>
        <v>0</v>
      </c>
      <c r="K31" s="127"/>
      <c r="L31" s="132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</row>
    <row r="32" spans="1:240" ht="19.5" x14ac:dyDescent="0.35">
      <c r="A32" s="116"/>
      <c r="B32" s="128"/>
      <c r="C32" s="129"/>
      <c r="D32" s="117"/>
      <c r="E32" s="118"/>
      <c r="F32" s="120"/>
      <c r="G32" s="120"/>
      <c r="H32" s="121"/>
      <c r="I32" s="122"/>
      <c r="J32" s="126">
        <f t="shared" si="0"/>
        <v>0</v>
      </c>
      <c r="K32" s="127"/>
      <c r="L32" s="13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</row>
    <row r="33" spans="1:240" ht="19.5" customHeight="1" x14ac:dyDescent="0.2">
      <c r="A33" s="134" t="s">
        <v>17</v>
      </c>
      <c r="B33" s="135"/>
      <c r="C33" s="136"/>
      <c r="D33" s="136"/>
      <c r="E33" s="137"/>
      <c r="F33" s="138" t="s">
        <v>18</v>
      </c>
      <c r="G33" s="139"/>
      <c r="H33" s="139"/>
      <c r="I33" s="140"/>
      <c r="J33" s="141">
        <f>SUM(J22:K32)</f>
        <v>0</v>
      </c>
      <c r="K33" s="142"/>
      <c r="L33" s="143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</row>
    <row r="34" spans="1:240" ht="14.25" x14ac:dyDescent="0.2">
      <c r="A34" s="144"/>
      <c r="B34" s="136"/>
      <c r="C34" s="136"/>
      <c r="D34" s="136"/>
      <c r="E34" s="136"/>
      <c r="F34" s="72"/>
      <c r="G34" s="72"/>
      <c r="H34" s="145"/>
      <c r="I34" s="67"/>
      <c r="J34" s="58"/>
      <c r="K34" s="65"/>
      <c r="L34" s="146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</row>
    <row r="35" spans="1:240" ht="14.25" x14ac:dyDescent="0.2">
      <c r="A35" s="147"/>
      <c r="B35" s="148"/>
      <c r="C35" s="148"/>
      <c r="D35" s="148"/>
      <c r="E35" s="148"/>
      <c r="F35" s="149"/>
      <c r="G35" s="149"/>
      <c r="H35" s="150"/>
      <c r="I35" s="151" t="s">
        <v>19</v>
      </c>
      <c r="J35" s="151"/>
      <c r="K35" s="151"/>
      <c r="L35" s="152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</row>
    <row r="36" spans="1:240" x14ac:dyDescent="0.15">
      <c r="A36" s="153"/>
      <c r="B36" s="82"/>
      <c r="C36" s="82"/>
      <c r="D36" s="82"/>
      <c r="E36" s="82"/>
      <c r="F36" s="82"/>
      <c r="G36" s="82"/>
      <c r="H36" s="154"/>
      <c r="I36" s="82"/>
      <c r="J36" s="82"/>
      <c r="K36" s="82"/>
      <c r="L36" s="82"/>
    </row>
    <row r="37" spans="1:240" ht="24.75" customHeight="1" x14ac:dyDescent="0.15">
      <c r="B37"/>
      <c r="H37"/>
    </row>
    <row r="38" spans="1:240" ht="24.75" customHeight="1" x14ac:dyDescent="0.15">
      <c r="B38"/>
      <c r="H38"/>
    </row>
    <row r="39" spans="1:240" ht="24.75" customHeight="1" x14ac:dyDescent="0.15">
      <c r="B39"/>
      <c r="H39"/>
    </row>
    <row r="40" spans="1:240" ht="24.75" customHeight="1" x14ac:dyDescent="0.15">
      <c r="B40"/>
      <c r="H40"/>
    </row>
    <row r="41" spans="1:240" ht="24.75" customHeight="1" x14ac:dyDescent="0.15">
      <c r="B41"/>
      <c r="H41"/>
    </row>
    <row r="42" spans="1:240" ht="24.75" customHeight="1" x14ac:dyDescent="0.15">
      <c r="B42"/>
      <c r="H42"/>
    </row>
    <row r="43" spans="1:240" ht="24.75" customHeight="1" x14ac:dyDescent="0.15">
      <c r="B43"/>
      <c r="H43"/>
    </row>
    <row r="44" spans="1:240" ht="24.75" customHeight="1" x14ac:dyDescent="0.15">
      <c r="B44"/>
      <c r="H44"/>
    </row>
    <row r="45" spans="1:240" ht="24.75" customHeight="1" x14ac:dyDescent="0.15">
      <c r="B45"/>
      <c r="H45"/>
    </row>
    <row r="46" spans="1:240" ht="24.75" customHeight="1" x14ac:dyDescent="0.15">
      <c r="B46"/>
      <c r="H46"/>
    </row>
    <row r="47" spans="1:240" ht="24.75" customHeight="1" x14ac:dyDescent="0.15">
      <c r="B47"/>
      <c r="H47"/>
    </row>
    <row r="48" spans="1:240" ht="24.75" customHeight="1" x14ac:dyDescent="0.15">
      <c r="B48"/>
      <c r="H48"/>
    </row>
    <row r="49" spans="2:8" ht="24.75" customHeight="1" x14ac:dyDescent="0.15">
      <c r="B49"/>
      <c r="H49"/>
    </row>
    <row r="50" spans="2:8" ht="24.75" customHeight="1" x14ac:dyDescent="0.15">
      <c r="B50"/>
      <c r="H50"/>
    </row>
    <row r="51" spans="2:8" ht="24.75" customHeight="1" x14ac:dyDescent="0.15">
      <c r="B51"/>
      <c r="H51"/>
    </row>
    <row r="52" spans="2:8" ht="24.75" customHeight="1" x14ac:dyDescent="0.15">
      <c r="B52"/>
      <c r="H52"/>
    </row>
    <row r="53" spans="2:8" ht="24.75" customHeight="1" x14ac:dyDescent="0.15">
      <c r="B53"/>
      <c r="H53"/>
    </row>
    <row r="54" spans="2:8" ht="24.75" customHeight="1" x14ac:dyDescent="0.15">
      <c r="B54"/>
      <c r="H54"/>
    </row>
    <row r="55" spans="2:8" ht="24.75" customHeight="1" x14ac:dyDescent="0.15">
      <c r="B55"/>
      <c r="H55"/>
    </row>
    <row r="56" spans="2:8" ht="24.75" customHeight="1" x14ac:dyDescent="0.15">
      <c r="B56"/>
      <c r="H56"/>
    </row>
    <row r="57" spans="2:8" ht="24.75" customHeight="1" x14ac:dyDescent="0.15">
      <c r="B57"/>
      <c r="H57"/>
    </row>
    <row r="58" spans="2:8" ht="24.75" customHeight="1" x14ac:dyDescent="0.15">
      <c r="B58"/>
      <c r="H58"/>
    </row>
    <row r="59" spans="2:8" ht="24.75" customHeight="1" x14ac:dyDescent="0.15">
      <c r="B59"/>
      <c r="H59"/>
    </row>
    <row r="60" spans="2:8" ht="24.75" customHeight="1" x14ac:dyDescent="0.15">
      <c r="B60"/>
      <c r="H60"/>
    </row>
    <row r="61" spans="2:8" ht="12" customHeight="1" x14ac:dyDescent="0.15">
      <c r="B61"/>
      <c r="H61"/>
    </row>
    <row r="62" spans="2:8" ht="24.75" customHeight="1" x14ac:dyDescent="0.15">
      <c r="B62"/>
      <c r="H62"/>
    </row>
    <row r="63" spans="2:8" ht="24.75" customHeight="1" x14ac:dyDescent="0.15">
      <c r="B63"/>
      <c r="H63"/>
    </row>
    <row r="64" spans="2:8" ht="24.75" customHeight="1" x14ac:dyDescent="0.15">
      <c r="B64"/>
      <c r="H64"/>
    </row>
    <row r="65" spans="2:8" ht="24.75" customHeight="1" x14ac:dyDescent="0.15">
      <c r="B65"/>
      <c r="H65"/>
    </row>
    <row r="66" spans="2:8" ht="24.75" customHeight="1" x14ac:dyDescent="0.15">
      <c r="B66"/>
      <c r="H66"/>
    </row>
    <row r="67" spans="2:8" ht="24.75" customHeight="1" x14ac:dyDescent="0.15">
      <c r="B67"/>
      <c r="H67"/>
    </row>
    <row r="68" spans="2:8" ht="24.75" customHeight="1" x14ac:dyDescent="0.15">
      <c r="B68"/>
      <c r="H68"/>
    </row>
    <row r="69" spans="2:8" ht="24.75" customHeight="1" x14ac:dyDescent="0.15">
      <c r="B69"/>
      <c r="H69"/>
    </row>
    <row r="70" spans="2:8" ht="24.75" customHeight="1" x14ac:dyDescent="0.15">
      <c r="B70"/>
      <c r="H70"/>
    </row>
    <row r="71" spans="2:8" ht="24.75" customHeight="1" x14ac:dyDescent="0.15">
      <c r="B71"/>
      <c r="H71"/>
    </row>
    <row r="72" spans="2:8" ht="24.75" customHeight="1" x14ac:dyDescent="0.15">
      <c r="B72"/>
      <c r="H72"/>
    </row>
    <row r="73" spans="2:8" ht="24.75" customHeight="1" x14ac:dyDescent="0.15">
      <c r="B73"/>
      <c r="H73"/>
    </row>
    <row r="74" spans="2:8" ht="24.75" customHeight="1" x14ac:dyDescent="0.15">
      <c r="B74"/>
      <c r="H74"/>
    </row>
    <row r="75" spans="2:8" ht="24.75" customHeight="1" x14ac:dyDescent="0.15">
      <c r="B75"/>
      <c r="H75"/>
    </row>
    <row r="76" spans="2:8" ht="24.75" customHeight="1" x14ac:dyDescent="0.15">
      <c r="B76"/>
      <c r="H76"/>
    </row>
    <row r="77" spans="2:8" ht="24.75" customHeight="1" x14ac:dyDescent="0.15">
      <c r="B77"/>
      <c r="H77"/>
    </row>
    <row r="78" spans="2:8" ht="24.75" customHeight="1" x14ac:dyDescent="0.15">
      <c r="B78"/>
      <c r="H78"/>
    </row>
    <row r="79" spans="2:8" ht="24.75" customHeight="1" x14ac:dyDescent="0.15">
      <c r="B79"/>
      <c r="H79"/>
    </row>
    <row r="80" spans="2:8" ht="24.75" customHeight="1" x14ac:dyDescent="0.15">
      <c r="B80"/>
      <c r="H80"/>
    </row>
    <row r="81" spans="2:8" ht="24.75" customHeight="1" x14ac:dyDescent="0.15">
      <c r="B81"/>
      <c r="H81"/>
    </row>
    <row r="82" spans="2:8" ht="24.75" customHeight="1" x14ac:dyDescent="0.15">
      <c r="B82"/>
      <c r="H82"/>
    </row>
    <row r="83" spans="2:8" ht="24.75" customHeight="1" x14ac:dyDescent="0.15">
      <c r="B83"/>
      <c r="H83"/>
    </row>
    <row r="84" spans="2:8" ht="24.75" customHeight="1" x14ac:dyDescent="0.15">
      <c r="B84"/>
      <c r="H84"/>
    </row>
    <row r="85" spans="2:8" ht="24.75" customHeight="1" x14ac:dyDescent="0.15">
      <c r="B85"/>
      <c r="H85"/>
    </row>
    <row r="86" spans="2:8" ht="12" customHeight="1" x14ac:dyDescent="0.15">
      <c r="B86"/>
      <c r="H86"/>
    </row>
    <row r="87" spans="2:8" ht="24.75" customHeight="1" x14ac:dyDescent="0.15">
      <c r="B87"/>
      <c r="H87"/>
    </row>
    <row r="88" spans="2:8" ht="24.75" customHeight="1" x14ac:dyDescent="0.15">
      <c r="B88"/>
      <c r="H88"/>
    </row>
    <row r="89" spans="2:8" ht="24.75" customHeight="1" x14ac:dyDescent="0.15">
      <c r="B89"/>
      <c r="H89"/>
    </row>
    <row r="90" spans="2:8" ht="24.75" customHeight="1" x14ac:dyDescent="0.15">
      <c r="B90"/>
      <c r="H90"/>
    </row>
    <row r="91" spans="2:8" ht="24.75" customHeight="1" x14ac:dyDescent="0.15">
      <c r="B91"/>
      <c r="H91"/>
    </row>
    <row r="92" spans="2:8" ht="24.75" customHeight="1" x14ac:dyDescent="0.15">
      <c r="B92"/>
      <c r="H92"/>
    </row>
    <row r="93" spans="2:8" ht="24.75" customHeight="1" x14ac:dyDescent="0.15">
      <c r="B93"/>
      <c r="H93"/>
    </row>
    <row r="94" spans="2:8" ht="24.75" customHeight="1" x14ac:dyDescent="0.15">
      <c r="B94"/>
      <c r="H94"/>
    </row>
    <row r="95" spans="2:8" ht="24.75" customHeight="1" x14ac:dyDescent="0.15">
      <c r="B95"/>
      <c r="H95"/>
    </row>
    <row r="96" spans="2:8" ht="24.75" customHeight="1" x14ac:dyDescent="0.15">
      <c r="B96"/>
      <c r="H96"/>
    </row>
    <row r="97" spans="2:8" ht="24.75" customHeight="1" x14ac:dyDescent="0.15">
      <c r="B97"/>
      <c r="H97"/>
    </row>
    <row r="98" spans="2:8" ht="24.75" customHeight="1" x14ac:dyDescent="0.15">
      <c r="B98"/>
      <c r="H98"/>
    </row>
    <row r="99" spans="2:8" ht="24.75" customHeight="1" x14ac:dyDescent="0.15">
      <c r="B99"/>
      <c r="H99"/>
    </row>
    <row r="100" spans="2:8" ht="24.75" customHeight="1" x14ac:dyDescent="0.15">
      <c r="B100"/>
      <c r="H100"/>
    </row>
    <row r="101" spans="2:8" ht="24.75" customHeight="1" x14ac:dyDescent="0.15">
      <c r="B101"/>
      <c r="H101"/>
    </row>
    <row r="102" spans="2:8" ht="24.75" customHeight="1" x14ac:dyDescent="0.15">
      <c r="B102"/>
      <c r="H102"/>
    </row>
    <row r="103" spans="2:8" ht="24.75" customHeight="1" x14ac:dyDescent="0.15">
      <c r="B103"/>
      <c r="H103"/>
    </row>
    <row r="104" spans="2:8" ht="24.75" customHeight="1" x14ac:dyDescent="0.15">
      <c r="B104"/>
      <c r="H104"/>
    </row>
    <row r="105" spans="2:8" ht="24.75" customHeight="1" x14ac:dyDescent="0.15">
      <c r="B105"/>
      <c r="H105"/>
    </row>
    <row r="106" spans="2:8" ht="24.75" customHeight="1" x14ac:dyDescent="0.15">
      <c r="B106"/>
      <c r="H106"/>
    </row>
    <row r="107" spans="2:8" ht="24.75" customHeight="1" x14ac:dyDescent="0.15">
      <c r="B107"/>
      <c r="H107"/>
    </row>
    <row r="108" spans="2:8" ht="24.75" customHeight="1" x14ac:dyDescent="0.15">
      <c r="B108"/>
      <c r="H108"/>
    </row>
    <row r="109" spans="2:8" ht="24.75" customHeight="1" x14ac:dyDescent="0.15">
      <c r="B109"/>
      <c r="H109"/>
    </row>
    <row r="110" spans="2:8" ht="24.75" customHeight="1" x14ac:dyDescent="0.15">
      <c r="B110"/>
      <c r="H110"/>
    </row>
    <row r="111" spans="2:8" ht="12" customHeight="1" x14ac:dyDescent="0.15">
      <c r="B111"/>
      <c r="H111"/>
    </row>
    <row r="112" spans="2:8" ht="24.75" customHeight="1" x14ac:dyDescent="0.15">
      <c r="B112"/>
      <c r="H112"/>
    </row>
    <row r="113" spans="2:8" ht="24.75" customHeight="1" x14ac:dyDescent="0.15">
      <c r="B113"/>
      <c r="H113"/>
    </row>
    <row r="114" spans="2:8" ht="24.75" customHeight="1" x14ac:dyDescent="0.15">
      <c r="B114"/>
      <c r="H114"/>
    </row>
    <row r="115" spans="2:8" ht="24.75" customHeight="1" x14ac:dyDescent="0.15">
      <c r="B115"/>
      <c r="H115"/>
    </row>
    <row r="116" spans="2:8" ht="24.75" customHeight="1" x14ac:dyDescent="0.15">
      <c r="B116"/>
      <c r="H116"/>
    </row>
    <row r="117" spans="2:8" ht="24.75" customHeight="1" x14ac:dyDescent="0.15">
      <c r="B117"/>
      <c r="H117"/>
    </row>
    <row r="118" spans="2:8" ht="24.75" customHeight="1" x14ac:dyDescent="0.15">
      <c r="B118"/>
      <c r="H118"/>
    </row>
    <row r="119" spans="2:8" ht="24.75" customHeight="1" x14ac:dyDescent="0.15">
      <c r="B119"/>
      <c r="H119"/>
    </row>
    <row r="120" spans="2:8" ht="24.75" customHeight="1" x14ac:dyDescent="0.15">
      <c r="B120"/>
      <c r="H120"/>
    </row>
    <row r="121" spans="2:8" ht="24.75" customHeight="1" x14ac:dyDescent="0.15">
      <c r="B121"/>
      <c r="H121"/>
    </row>
    <row r="122" spans="2:8" ht="24.75" customHeight="1" x14ac:dyDescent="0.15">
      <c r="B122"/>
      <c r="H122"/>
    </row>
    <row r="123" spans="2:8" ht="24.75" customHeight="1" x14ac:dyDescent="0.15">
      <c r="B123"/>
      <c r="H123"/>
    </row>
    <row r="124" spans="2:8" ht="24.75" customHeight="1" x14ac:dyDescent="0.15">
      <c r="B124"/>
      <c r="H124"/>
    </row>
    <row r="125" spans="2:8" ht="24.75" customHeight="1" x14ac:dyDescent="0.15">
      <c r="B125"/>
      <c r="H125"/>
    </row>
    <row r="126" spans="2:8" ht="24.75" customHeight="1" x14ac:dyDescent="0.15">
      <c r="B126"/>
      <c r="H126"/>
    </row>
    <row r="127" spans="2:8" ht="24.75" customHeight="1" x14ac:dyDescent="0.15">
      <c r="B127"/>
      <c r="H127"/>
    </row>
    <row r="128" spans="2:8" ht="24.75" customHeight="1" x14ac:dyDescent="0.15">
      <c r="B128"/>
      <c r="H128"/>
    </row>
    <row r="129" spans="2:8" ht="24.75" customHeight="1" x14ac:dyDescent="0.15">
      <c r="B129"/>
      <c r="H129"/>
    </row>
    <row r="130" spans="2:8" ht="24.75" customHeight="1" x14ac:dyDescent="0.15">
      <c r="B130"/>
      <c r="H130"/>
    </row>
    <row r="131" spans="2:8" ht="24.75" customHeight="1" x14ac:dyDescent="0.15">
      <c r="B131"/>
      <c r="H131"/>
    </row>
    <row r="132" spans="2:8" ht="24.75" customHeight="1" x14ac:dyDescent="0.15">
      <c r="B132"/>
      <c r="H132"/>
    </row>
    <row r="133" spans="2:8" ht="24.75" customHeight="1" x14ac:dyDescent="0.15">
      <c r="B133"/>
      <c r="H133"/>
    </row>
    <row r="134" spans="2:8" ht="24.75" customHeight="1" x14ac:dyDescent="0.15">
      <c r="B134"/>
      <c r="H134"/>
    </row>
    <row r="135" spans="2:8" ht="24.75" customHeight="1" x14ac:dyDescent="0.15">
      <c r="B135"/>
      <c r="H135"/>
    </row>
    <row r="136" spans="2:8" ht="12" customHeight="1" x14ac:dyDescent="0.15">
      <c r="B136"/>
      <c r="H136"/>
    </row>
    <row r="137" spans="2:8" ht="24.75" customHeight="1" x14ac:dyDescent="0.15">
      <c r="B137"/>
      <c r="H137"/>
    </row>
    <row r="138" spans="2:8" ht="24.75" customHeight="1" x14ac:dyDescent="0.15">
      <c r="B138"/>
      <c r="H138"/>
    </row>
    <row r="139" spans="2:8" ht="24.75" customHeight="1" x14ac:dyDescent="0.15">
      <c r="B139"/>
      <c r="H139"/>
    </row>
    <row r="140" spans="2:8" ht="24.75" customHeight="1" x14ac:dyDescent="0.15">
      <c r="B140"/>
      <c r="H140"/>
    </row>
    <row r="141" spans="2:8" ht="24.75" customHeight="1" x14ac:dyDescent="0.15">
      <c r="B141"/>
      <c r="H141"/>
    </row>
    <row r="142" spans="2:8" ht="24.75" customHeight="1" x14ac:dyDescent="0.15">
      <c r="B142"/>
      <c r="H142"/>
    </row>
    <row r="143" spans="2:8" ht="24.75" customHeight="1" x14ac:dyDescent="0.15">
      <c r="B143"/>
      <c r="H143"/>
    </row>
    <row r="144" spans="2:8" ht="24.75" customHeight="1" x14ac:dyDescent="0.15">
      <c r="B144"/>
      <c r="H144"/>
    </row>
    <row r="145" spans="2:8" ht="24.75" customHeight="1" x14ac:dyDescent="0.15">
      <c r="B145"/>
      <c r="H145"/>
    </row>
    <row r="146" spans="2:8" ht="24.75" customHeight="1" x14ac:dyDescent="0.15">
      <c r="B146"/>
      <c r="H146"/>
    </row>
    <row r="147" spans="2:8" ht="24.75" customHeight="1" x14ac:dyDescent="0.15">
      <c r="B147"/>
      <c r="H147"/>
    </row>
    <row r="148" spans="2:8" ht="24.75" customHeight="1" x14ac:dyDescent="0.15">
      <c r="B148"/>
      <c r="H148"/>
    </row>
    <row r="149" spans="2:8" ht="24.75" customHeight="1" x14ac:dyDescent="0.15">
      <c r="B149"/>
      <c r="H149"/>
    </row>
    <row r="150" spans="2:8" ht="24.75" customHeight="1" x14ac:dyDescent="0.15">
      <c r="B150"/>
      <c r="H150"/>
    </row>
    <row r="151" spans="2:8" ht="24.75" customHeight="1" x14ac:dyDescent="0.15">
      <c r="B151"/>
      <c r="H151"/>
    </row>
    <row r="152" spans="2:8" ht="24.75" customHeight="1" x14ac:dyDescent="0.15">
      <c r="B152"/>
      <c r="H152"/>
    </row>
    <row r="153" spans="2:8" ht="24.75" customHeight="1" x14ac:dyDescent="0.15">
      <c r="B153"/>
      <c r="H153"/>
    </row>
    <row r="154" spans="2:8" ht="24.75" customHeight="1" x14ac:dyDescent="0.15">
      <c r="B154"/>
      <c r="H154"/>
    </row>
    <row r="155" spans="2:8" ht="24.75" customHeight="1" x14ac:dyDescent="0.15">
      <c r="B155"/>
      <c r="H155"/>
    </row>
    <row r="156" spans="2:8" ht="24.75" customHeight="1" x14ac:dyDescent="0.15">
      <c r="B156"/>
      <c r="H156"/>
    </row>
    <row r="157" spans="2:8" ht="24.75" customHeight="1" x14ac:dyDescent="0.15">
      <c r="B157"/>
      <c r="H157"/>
    </row>
    <row r="158" spans="2:8" ht="24.75" customHeight="1" x14ac:dyDescent="0.15">
      <c r="B158"/>
      <c r="H158"/>
    </row>
    <row r="159" spans="2:8" ht="24.75" customHeight="1" x14ac:dyDescent="0.15">
      <c r="B159"/>
      <c r="H159"/>
    </row>
    <row r="160" spans="2:8" ht="24.75" customHeight="1" x14ac:dyDescent="0.15">
      <c r="B160"/>
      <c r="H160"/>
    </row>
    <row r="161" spans="2:8" ht="12" customHeight="1" x14ac:dyDescent="0.15">
      <c r="B161"/>
      <c r="H161"/>
    </row>
    <row r="162" spans="2:8" ht="24.75" customHeight="1" x14ac:dyDescent="0.15">
      <c r="B162"/>
      <c r="H162"/>
    </row>
    <row r="163" spans="2:8" ht="24.75" customHeight="1" x14ac:dyDescent="0.15">
      <c r="B163"/>
      <c r="H163"/>
    </row>
    <row r="164" spans="2:8" ht="24.75" customHeight="1" x14ac:dyDescent="0.15">
      <c r="B164"/>
      <c r="H164"/>
    </row>
    <row r="165" spans="2:8" ht="24.75" customHeight="1" x14ac:dyDescent="0.15">
      <c r="B165"/>
      <c r="H165"/>
    </row>
    <row r="166" spans="2:8" ht="24.75" customHeight="1" x14ac:dyDescent="0.15">
      <c r="B166"/>
      <c r="H166"/>
    </row>
    <row r="167" spans="2:8" ht="24.75" customHeight="1" x14ac:dyDescent="0.15">
      <c r="B167"/>
      <c r="H167"/>
    </row>
    <row r="168" spans="2:8" ht="24.75" customHeight="1" x14ac:dyDescent="0.15">
      <c r="B168"/>
      <c r="H168"/>
    </row>
    <row r="169" spans="2:8" ht="24.75" customHeight="1" x14ac:dyDescent="0.15">
      <c r="B169"/>
      <c r="H169"/>
    </row>
    <row r="170" spans="2:8" ht="24.75" customHeight="1" x14ac:dyDescent="0.15">
      <c r="B170"/>
      <c r="H170"/>
    </row>
    <row r="171" spans="2:8" ht="24.75" customHeight="1" x14ac:dyDescent="0.15">
      <c r="B171"/>
      <c r="H171"/>
    </row>
    <row r="172" spans="2:8" ht="24.75" customHeight="1" x14ac:dyDescent="0.15">
      <c r="B172"/>
      <c r="H172"/>
    </row>
    <row r="173" spans="2:8" ht="24.75" customHeight="1" x14ac:dyDescent="0.15">
      <c r="B173"/>
      <c r="H173"/>
    </row>
    <row r="174" spans="2:8" ht="24.75" customHeight="1" x14ac:dyDescent="0.15">
      <c r="B174"/>
      <c r="H174"/>
    </row>
    <row r="175" spans="2:8" ht="24.75" customHeight="1" x14ac:dyDescent="0.15">
      <c r="B175"/>
      <c r="H175"/>
    </row>
    <row r="176" spans="2:8" ht="24.75" customHeight="1" x14ac:dyDescent="0.15">
      <c r="B176"/>
      <c r="H176"/>
    </row>
    <row r="177" spans="2:8" ht="24.75" customHeight="1" x14ac:dyDescent="0.15">
      <c r="B177"/>
      <c r="H177"/>
    </row>
    <row r="178" spans="2:8" ht="24.75" customHeight="1" x14ac:dyDescent="0.15">
      <c r="B178"/>
      <c r="H178"/>
    </row>
    <row r="179" spans="2:8" ht="24.75" customHeight="1" x14ac:dyDescent="0.15">
      <c r="B179"/>
      <c r="H179"/>
    </row>
    <row r="180" spans="2:8" ht="24.75" customHeight="1" x14ac:dyDescent="0.15">
      <c r="B180"/>
      <c r="H180"/>
    </row>
    <row r="181" spans="2:8" ht="24.75" customHeight="1" x14ac:dyDescent="0.15">
      <c r="B181"/>
      <c r="H181"/>
    </row>
    <row r="182" spans="2:8" ht="24.75" customHeight="1" x14ac:dyDescent="0.15">
      <c r="B182"/>
      <c r="H182"/>
    </row>
    <row r="183" spans="2:8" ht="24.75" customHeight="1" x14ac:dyDescent="0.15">
      <c r="B183"/>
      <c r="H183"/>
    </row>
    <row r="184" spans="2:8" ht="24.75" customHeight="1" x14ac:dyDescent="0.15">
      <c r="B184"/>
      <c r="H184"/>
    </row>
    <row r="185" spans="2:8" ht="24.75" customHeight="1" x14ac:dyDescent="0.15">
      <c r="B185"/>
      <c r="H185"/>
    </row>
    <row r="186" spans="2:8" ht="12" customHeight="1" x14ac:dyDescent="0.15">
      <c r="B186"/>
      <c r="H186"/>
    </row>
    <row r="187" spans="2:8" ht="24.75" customHeight="1" x14ac:dyDescent="0.15">
      <c r="B187"/>
      <c r="H187"/>
    </row>
    <row r="188" spans="2:8" ht="24.75" customHeight="1" x14ac:dyDescent="0.15">
      <c r="B188"/>
      <c r="H188"/>
    </row>
    <row r="189" spans="2:8" ht="24.75" customHeight="1" x14ac:dyDescent="0.15">
      <c r="B189"/>
      <c r="H189"/>
    </row>
    <row r="190" spans="2:8" ht="24.75" customHeight="1" x14ac:dyDescent="0.15">
      <c r="B190"/>
      <c r="H190"/>
    </row>
    <row r="191" spans="2:8" ht="24.75" customHeight="1" x14ac:dyDescent="0.15">
      <c r="B191"/>
      <c r="H191"/>
    </row>
    <row r="192" spans="2:8" ht="24.75" customHeight="1" x14ac:dyDescent="0.15">
      <c r="B192"/>
      <c r="H192"/>
    </row>
    <row r="193" spans="2:8" ht="24.75" customHeight="1" x14ac:dyDescent="0.15">
      <c r="B193"/>
      <c r="H193"/>
    </row>
    <row r="194" spans="2:8" ht="24.75" customHeight="1" x14ac:dyDescent="0.15">
      <c r="B194"/>
      <c r="H194"/>
    </row>
    <row r="195" spans="2:8" ht="24.75" customHeight="1" x14ac:dyDescent="0.15">
      <c r="B195"/>
      <c r="H195"/>
    </row>
    <row r="196" spans="2:8" ht="24.75" customHeight="1" x14ac:dyDescent="0.15">
      <c r="B196"/>
      <c r="H196"/>
    </row>
    <row r="197" spans="2:8" ht="24.75" customHeight="1" x14ac:dyDescent="0.15">
      <c r="B197"/>
      <c r="H197"/>
    </row>
    <row r="198" spans="2:8" ht="24.75" customHeight="1" x14ac:dyDescent="0.15">
      <c r="B198"/>
      <c r="H198"/>
    </row>
    <row r="199" spans="2:8" ht="24.75" customHeight="1" x14ac:dyDescent="0.15">
      <c r="B199"/>
      <c r="H199"/>
    </row>
    <row r="200" spans="2:8" ht="24.75" customHeight="1" x14ac:dyDescent="0.15">
      <c r="B200"/>
      <c r="H200"/>
    </row>
    <row r="201" spans="2:8" ht="24.75" customHeight="1" x14ac:dyDescent="0.15">
      <c r="B201"/>
      <c r="H201"/>
    </row>
    <row r="202" spans="2:8" ht="24.75" customHeight="1" x14ac:dyDescent="0.15">
      <c r="B202"/>
      <c r="H202"/>
    </row>
    <row r="203" spans="2:8" ht="24.75" customHeight="1" x14ac:dyDescent="0.15">
      <c r="B203"/>
      <c r="H203"/>
    </row>
    <row r="204" spans="2:8" ht="24.75" customHeight="1" x14ac:dyDescent="0.15">
      <c r="B204"/>
      <c r="H204"/>
    </row>
    <row r="205" spans="2:8" ht="24.75" customHeight="1" x14ac:dyDescent="0.15">
      <c r="B205"/>
      <c r="H205"/>
    </row>
    <row r="206" spans="2:8" ht="24.75" customHeight="1" x14ac:dyDescent="0.15">
      <c r="B206"/>
      <c r="H206"/>
    </row>
    <row r="207" spans="2:8" ht="24.75" customHeight="1" x14ac:dyDescent="0.15">
      <c r="B207"/>
      <c r="H207"/>
    </row>
    <row r="208" spans="2:8" ht="24.75" customHeight="1" x14ac:dyDescent="0.15">
      <c r="B208"/>
      <c r="H208"/>
    </row>
    <row r="209" spans="2:8" ht="24.75" customHeight="1" x14ac:dyDescent="0.15">
      <c r="B209"/>
      <c r="H209"/>
    </row>
    <row r="210" spans="2:8" ht="24.75" customHeight="1" x14ac:dyDescent="0.15">
      <c r="B210"/>
      <c r="H210"/>
    </row>
    <row r="211" spans="2:8" ht="12" customHeight="1" x14ac:dyDescent="0.15">
      <c r="B211"/>
      <c r="H211"/>
    </row>
    <row r="212" spans="2:8" ht="24.75" customHeight="1" x14ac:dyDescent="0.15">
      <c r="B212"/>
      <c r="H212"/>
    </row>
    <row r="213" spans="2:8" ht="24.75" customHeight="1" x14ac:dyDescent="0.15">
      <c r="B213"/>
      <c r="H213"/>
    </row>
    <row r="214" spans="2:8" ht="24.75" customHeight="1" x14ac:dyDescent="0.15">
      <c r="B214"/>
      <c r="H214"/>
    </row>
    <row r="215" spans="2:8" ht="24.75" customHeight="1" x14ac:dyDescent="0.15">
      <c r="B215"/>
      <c r="H215"/>
    </row>
    <row r="216" spans="2:8" ht="24.75" customHeight="1" x14ac:dyDescent="0.15">
      <c r="B216"/>
      <c r="H216"/>
    </row>
    <row r="217" spans="2:8" ht="24.75" customHeight="1" x14ac:dyDescent="0.15">
      <c r="B217"/>
      <c r="H217"/>
    </row>
    <row r="218" spans="2:8" ht="24.75" customHeight="1" x14ac:dyDescent="0.15">
      <c r="B218"/>
      <c r="H218"/>
    </row>
    <row r="219" spans="2:8" ht="24.75" customHeight="1" x14ac:dyDescent="0.15">
      <c r="B219"/>
      <c r="H219"/>
    </row>
    <row r="220" spans="2:8" ht="24.75" customHeight="1" x14ac:dyDescent="0.15">
      <c r="B220"/>
      <c r="H220"/>
    </row>
    <row r="221" spans="2:8" ht="24.75" customHeight="1" x14ac:dyDescent="0.15">
      <c r="B221"/>
      <c r="H221"/>
    </row>
    <row r="222" spans="2:8" ht="24.75" customHeight="1" x14ac:dyDescent="0.15">
      <c r="B222"/>
      <c r="H222"/>
    </row>
    <row r="223" spans="2:8" ht="24.75" customHeight="1" x14ac:dyDescent="0.15">
      <c r="B223"/>
      <c r="H223"/>
    </row>
    <row r="224" spans="2:8" ht="24.75" customHeight="1" x14ac:dyDescent="0.15">
      <c r="B224"/>
      <c r="H224"/>
    </row>
    <row r="225" spans="2:8" ht="24.75" customHeight="1" x14ac:dyDescent="0.15">
      <c r="B225"/>
      <c r="H225"/>
    </row>
    <row r="226" spans="2:8" ht="24.75" customHeight="1" x14ac:dyDescent="0.15">
      <c r="B226"/>
      <c r="H226"/>
    </row>
    <row r="227" spans="2:8" ht="24.75" customHeight="1" x14ac:dyDescent="0.15">
      <c r="B227"/>
      <c r="H227"/>
    </row>
    <row r="228" spans="2:8" ht="24.75" customHeight="1" x14ac:dyDescent="0.15">
      <c r="B228"/>
      <c r="H228"/>
    </row>
    <row r="229" spans="2:8" ht="24.75" customHeight="1" x14ac:dyDescent="0.15">
      <c r="B229"/>
      <c r="H229"/>
    </row>
    <row r="230" spans="2:8" ht="24.75" customHeight="1" x14ac:dyDescent="0.15">
      <c r="B230"/>
      <c r="H230"/>
    </row>
    <row r="231" spans="2:8" ht="24.75" customHeight="1" x14ac:dyDescent="0.15">
      <c r="B231"/>
      <c r="H231"/>
    </row>
    <row r="232" spans="2:8" ht="24.75" customHeight="1" x14ac:dyDescent="0.15">
      <c r="B232"/>
      <c r="H232"/>
    </row>
    <row r="233" spans="2:8" ht="24.75" customHeight="1" x14ac:dyDescent="0.15">
      <c r="B233"/>
      <c r="H233"/>
    </row>
    <row r="234" spans="2:8" ht="24.75" customHeight="1" x14ac:dyDescent="0.15">
      <c r="B234"/>
      <c r="H234"/>
    </row>
    <row r="235" spans="2:8" ht="24.75" customHeight="1" x14ac:dyDescent="0.15">
      <c r="B235"/>
      <c r="H235"/>
    </row>
    <row r="236" spans="2:8" ht="12" customHeight="1" x14ac:dyDescent="0.15">
      <c r="B236"/>
      <c r="H236"/>
    </row>
    <row r="237" spans="2:8" ht="24.75" customHeight="1" x14ac:dyDescent="0.15">
      <c r="B237"/>
      <c r="H237"/>
    </row>
    <row r="238" spans="2:8" ht="24.75" customHeight="1" x14ac:dyDescent="0.15">
      <c r="B238"/>
      <c r="H238"/>
    </row>
    <row r="239" spans="2:8" ht="24.75" customHeight="1" x14ac:dyDescent="0.15">
      <c r="B239"/>
      <c r="H239"/>
    </row>
    <row r="240" spans="2:8" ht="24.75" customHeight="1" x14ac:dyDescent="0.15">
      <c r="B240"/>
      <c r="H240"/>
    </row>
    <row r="241" spans="2:8" ht="24.75" customHeight="1" x14ac:dyDescent="0.15">
      <c r="B241"/>
      <c r="H241"/>
    </row>
    <row r="242" spans="2:8" ht="24.75" customHeight="1" x14ac:dyDescent="0.15">
      <c r="B242"/>
      <c r="H242"/>
    </row>
    <row r="243" spans="2:8" ht="24.75" customHeight="1" x14ac:dyDescent="0.15">
      <c r="B243"/>
      <c r="H243"/>
    </row>
    <row r="244" spans="2:8" ht="24.75" customHeight="1" x14ac:dyDescent="0.15">
      <c r="B244"/>
      <c r="H244"/>
    </row>
    <row r="245" spans="2:8" ht="24.75" customHeight="1" x14ac:dyDescent="0.15">
      <c r="B245"/>
      <c r="H245"/>
    </row>
    <row r="246" spans="2:8" ht="24.75" customHeight="1" x14ac:dyDescent="0.15">
      <c r="B246"/>
      <c r="H246"/>
    </row>
    <row r="247" spans="2:8" ht="24.75" customHeight="1" x14ac:dyDescent="0.15">
      <c r="B247"/>
      <c r="H247"/>
    </row>
    <row r="248" spans="2:8" ht="24.75" customHeight="1" x14ac:dyDescent="0.15">
      <c r="B248"/>
      <c r="H248"/>
    </row>
    <row r="249" spans="2:8" ht="24.75" customHeight="1" x14ac:dyDescent="0.15">
      <c r="B249"/>
      <c r="H249"/>
    </row>
    <row r="250" spans="2:8" ht="24.75" customHeight="1" x14ac:dyDescent="0.15">
      <c r="B250"/>
      <c r="H250"/>
    </row>
    <row r="251" spans="2:8" ht="24.75" customHeight="1" x14ac:dyDescent="0.15">
      <c r="B251"/>
      <c r="H251"/>
    </row>
    <row r="252" spans="2:8" ht="24.75" customHeight="1" x14ac:dyDescent="0.15">
      <c r="B252"/>
      <c r="H252"/>
    </row>
    <row r="253" spans="2:8" ht="24.75" customHeight="1" x14ac:dyDescent="0.15">
      <c r="B253"/>
      <c r="H253"/>
    </row>
    <row r="254" spans="2:8" ht="24.75" customHeight="1" x14ac:dyDescent="0.15">
      <c r="B254"/>
      <c r="H254"/>
    </row>
    <row r="255" spans="2:8" ht="24.75" customHeight="1" x14ac:dyDescent="0.15">
      <c r="B255"/>
      <c r="H255"/>
    </row>
    <row r="256" spans="2:8" ht="24.75" customHeight="1" x14ac:dyDescent="0.15">
      <c r="B256"/>
      <c r="H256"/>
    </row>
    <row r="257" spans="2:8" ht="24.75" customHeight="1" x14ac:dyDescent="0.15">
      <c r="B257"/>
      <c r="H257"/>
    </row>
    <row r="258" spans="2:8" ht="24.75" customHeight="1" x14ac:dyDescent="0.15">
      <c r="B258"/>
      <c r="H258"/>
    </row>
    <row r="259" spans="2:8" ht="24.75" customHeight="1" x14ac:dyDescent="0.15">
      <c r="B259"/>
      <c r="H259"/>
    </row>
    <row r="260" spans="2:8" ht="24.75" customHeight="1" x14ac:dyDescent="0.15">
      <c r="B260"/>
      <c r="H260"/>
    </row>
    <row r="261" spans="2:8" ht="12" customHeight="1" x14ac:dyDescent="0.15">
      <c r="B261"/>
      <c r="H261"/>
    </row>
    <row r="262" spans="2:8" ht="24.75" customHeight="1" x14ac:dyDescent="0.15">
      <c r="B262"/>
      <c r="H262"/>
    </row>
    <row r="263" spans="2:8" ht="24.75" customHeight="1" x14ac:dyDescent="0.15">
      <c r="B263"/>
      <c r="H263"/>
    </row>
    <row r="264" spans="2:8" ht="24.75" customHeight="1" x14ac:dyDescent="0.15">
      <c r="B264"/>
      <c r="H264"/>
    </row>
    <row r="265" spans="2:8" ht="24.75" customHeight="1" x14ac:dyDescent="0.15">
      <c r="B265"/>
      <c r="H265"/>
    </row>
    <row r="266" spans="2:8" ht="24.75" customHeight="1" x14ac:dyDescent="0.15">
      <c r="B266"/>
      <c r="H266"/>
    </row>
    <row r="267" spans="2:8" ht="24.75" customHeight="1" x14ac:dyDescent="0.15">
      <c r="B267"/>
      <c r="H267"/>
    </row>
    <row r="268" spans="2:8" ht="24.75" customHeight="1" x14ac:dyDescent="0.15">
      <c r="B268"/>
      <c r="H268"/>
    </row>
    <row r="269" spans="2:8" ht="24.75" customHeight="1" x14ac:dyDescent="0.15">
      <c r="B269"/>
      <c r="H269"/>
    </row>
    <row r="270" spans="2:8" ht="24.75" customHeight="1" x14ac:dyDescent="0.15">
      <c r="B270"/>
      <c r="H270"/>
    </row>
    <row r="271" spans="2:8" ht="24.75" customHeight="1" x14ac:dyDescent="0.15">
      <c r="B271"/>
      <c r="H271"/>
    </row>
    <row r="272" spans="2:8" ht="24.75" customHeight="1" x14ac:dyDescent="0.15">
      <c r="B272"/>
      <c r="H272"/>
    </row>
    <row r="273" spans="2:8" ht="24.75" customHeight="1" x14ac:dyDescent="0.15">
      <c r="B273"/>
      <c r="H273"/>
    </row>
    <row r="274" spans="2:8" ht="24.75" customHeight="1" x14ac:dyDescent="0.15">
      <c r="B274"/>
      <c r="H274"/>
    </row>
    <row r="275" spans="2:8" ht="24.75" customHeight="1" x14ac:dyDescent="0.15">
      <c r="B275"/>
      <c r="H275"/>
    </row>
    <row r="276" spans="2:8" ht="24.75" customHeight="1" x14ac:dyDescent="0.15">
      <c r="B276"/>
      <c r="H276"/>
    </row>
    <row r="277" spans="2:8" ht="24.75" customHeight="1" x14ac:dyDescent="0.15">
      <c r="B277"/>
      <c r="H277"/>
    </row>
    <row r="278" spans="2:8" ht="24.75" customHeight="1" x14ac:dyDescent="0.15">
      <c r="B278"/>
      <c r="H278"/>
    </row>
    <row r="279" spans="2:8" ht="24.75" customHeight="1" x14ac:dyDescent="0.15">
      <c r="B279"/>
      <c r="H279"/>
    </row>
    <row r="280" spans="2:8" ht="24.75" customHeight="1" x14ac:dyDescent="0.15">
      <c r="B280"/>
      <c r="H280"/>
    </row>
    <row r="281" spans="2:8" ht="24.75" customHeight="1" x14ac:dyDescent="0.15">
      <c r="B281"/>
      <c r="H281"/>
    </row>
    <row r="282" spans="2:8" ht="24.75" customHeight="1" x14ac:dyDescent="0.15">
      <c r="B282"/>
      <c r="H282"/>
    </row>
    <row r="283" spans="2:8" ht="24.75" customHeight="1" x14ac:dyDescent="0.15">
      <c r="B283"/>
      <c r="H283"/>
    </row>
    <row r="284" spans="2:8" ht="24.75" customHeight="1" x14ac:dyDescent="0.15">
      <c r="B284"/>
      <c r="H284"/>
    </row>
    <row r="285" spans="2:8" ht="24.75" customHeight="1" x14ac:dyDescent="0.15">
      <c r="B285"/>
      <c r="H285"/>
    </row>
    <row r="286" spans="2:8" ht="12" customHeight="1" x14ac:dyDescent="0.15">
      <c r="B286"/>
      <c r="H286"/>
    </row>
    <row r="287" spans="2:8" ht="24.75" customHeight="1" x14ac:dyDescent="0.15">
      <c r="B287"/>
      <c r="H287"/>
    </row>
    <row r="288" spans="2:8" ht="24.75" customHeight="1" x14ac:dyDescent="0.15">
      <c r="B288"/>
      <c r="H288"/>
    </row>
    <row r="289" spans="2:8" ht="24.75" customHeight="1" x14ac:dyDescent="0.15">
      <c r="B289"/>
      <c r="H289"/>
    </row>
    <row r="290" spans="2:8" ht="24.75" customHeight="1" x14ac:dyDescent="0.15">
      <c r="B290"/>
      <c r="H290"/>
    </row>
    <row r="291" spans="2:8" ht="24.75" customHeight="1" x14ac:dyDescent="0.15">
      <c r="B291"/>
      <c r="H291"/>
    </row>
    <row r="292" spans="2:8" ht="24.75" customHeight="1" x14ac:dyDescent="0.15">
      <c r="B292"/>
      <c r="H292"/>
    </row>
    <row r="293" spans="2:8" ht="24.75" customHeight="1" x14ac:dyDescent="0.15">
      <c r="B293"/>
      <c r="H293"/>
    </row>
    <row r="294" spans="2:8" ht="24.75" customHeight="1" x14ac:dyDescent="0.15">
      <c r="B294"/>
      <c r="H294"/>
    </row>
    <row r="295" spans="2:8" ht="24.75" customHeight="1" x14ac:dyDescent="0.15">
      <c r="B295"/>
      <c r="H295"/>
    </row>
    <row r="296" spans="2:8" ht="24.75" customHeight="1" x14ac:dyDescent="0.15">
      <c r="B296"/>
      <c r="H296"/>
    </row>
    <row r="297" spans="2:8" ht="24.75" customHeight="1" x14ac:dyDescent="0.15">
      <c r="B297"/>
      <c r="H297"/>
    </row>
    <row r="298" spans="2:8" ht="24.75" customHeight="1" x14ac:dyDescent="0.15">
      <c r="B298"/>
      <c r="H298"/>
    </row>
    <row r="299" spans="2:8" ht="24.75" customHeight="1" x14ac:dyDescent="0.15">
      <c r="B299"/>
      <c r="H299"/>
    </row>
    <row r="300" spans="2:8" ht="24.75" customHeight="1" x14ac:dyDescent="0.15">
      <c r="B300"/>
      <c r="H300"/>
    </row>
    <row r="301" spans="2:8" ht="24.75" customHeight="1" x14ac:dyDescent="0.15">
      <c r="B301"/>
      <c r="H301"/>
    </row>
    <row r="302" spans="2:8" ht="24.75" customHeight="1" x14ac:dyDescent="0.15">
      <c r="B302"/>
      <c r="H302"/>
    </row>
    <row r="303" spans="2:8" ht="24.75" customHeight="1" x14ac:dyDescent="0.15">
      <c r="B303"/>
      <c r="H303"/>
    </row>
    <row r="304" spans="2:8" ht="24.75" customHeight="1" x14ac:dyDescent="0.15">
      <c r="B304"/>
      <c r="H304"/>
    </row>
    <row r="305" spans="2:8" ht="24.75" customHeight="1" x14ac:dyDescent="0.15">
      <c r="B305"/>
      <c r="H305"/>
    </row>
    <row r="306" spans="2:8" ht="24.75" customHeight="1" x14ac:dyDescent="0.15">
      <c r="B306"/>
      <c r="H306"/>
    </row>
    <row r="307" spans="2:8" ht="24.75" customHeight="1" x14ac:dyDescent="0.15">
      <c r="B307"/>
      <c r="H307"/>
    </row>
    <row r="308" spans="2:8" ht="24.75" customHeight="1" x14ac:dyDescent="0.15">
      <c r="B308"/>
      <c r="H308"/>
    </row>
    <row r="309" spans="2:8" ht="24.75" customHeight="1" x14ac:dyDescent="0.15">
      <c r="B309"/>
      <c r="H309"/>
    </row>
    <row r="310" spans="2:8" ht="24.75" customHeight="1" x14ac:dyDescent="0.15">
      <c r="B310"/>
      <c r="H310"/>
    </row>
    <row r="311" spans="2:8" x14ac:dyDescent="0.15">
      <c r="B311"/>
      <c r="H311"/>
    </row>
    <row r="312" spans="2:8" x14ac:dyDescent="0.15">
      <c r="B312"/>
      <c r="H312"/>
    </row>
    <row r="313" spans="2:8" x14ac:dyDescent="0.15">
      <c r="B313"/>
      <c r="H313"/>
    </row>
    <row r="314" spans="2:8" x14ac:dyDescent="0.15">
      <c r="B314"/>
      <c r="H314"/>
    </row>
    <row r="315" spans="2:8" x14ac:dyDescent="0.15">
      <c r="B315"/>
      <c r="H315"/>
    </row>
    <row r="316" spans="2:8" x14ac:dyDescent="0.15">
      <c r="B316"/>
      <c r="H316"/>
    </row>
    <row r="317" spans="2:8" x14ac:dyDescent="0.15">
      <c r="B317"/>
      <c r="H317"/>
    </row>
    <row r="318" spans="2:8" x14ac:dyDescent="0.15">
      <c r="B318"/>
      <c r="H318"/>
    </row>
    <row r="319" spans="2:8" x14ac:dyDescent="0.15">
      <c r="B319"/>
      <c r="H319"/>
    </row>
    <row r="320" spans="2:8" x14ac:dyDescent="0.15">
      <c r="B320"/>
      <c r="H320"/>
    </row>
    <row r="321" spans="2:8" x14ac:dyDescent="0.15">
      <c r="B321"/>
      <c r="H321"/>
    </row>
    <row r="322" spans="2:8" x14ac:dyDescent="0.15">
      <c r="B322"/>
      <c r="H322"/>
    </row>
    <row r="323" spans="2:8" x14ac:dyDescent="0.15">
      <c r="B323"/>
      <c r="H323"/>
    </row>
    <row r="324" spans="2:8" x14ac:dyDescent="0.15">
      <c r="B324"/>
      <c r="H324"/>
    </row>
    <row r="325" spans="2:8" x14ac:dyDescent="0.15">
      <c r="B325"/>
      <c r="H325"/>
    </row>
    <row r="326" spans="2:8" x14ac:dyDescent="0.15">
      <c r="B326"/>
      <c r="H326"/>
    </row>
    <row r="327" spans="2:8" x14ac:dyDescent="0.15">
      <c r="B327"/>
      <c r="H327"/>
    </row>
    <row r="328" spans="2:8" x14ac:dyDescent="0.15">
      <c r="B328"/>
      <c r="H328"/>
    </row>
    <row r="329" spans="2:8" x14ac:dyDescent="0.15">
      <c r="B329"/>
      <c r="H329"/>
    </row>
    <row r="330" spans="2:8" x14ac:dyDescent="0.15">
      <c r="B330"/>
      <c r="H330"/>
    </row>
    <row r="331" spans="2:8" x14ac:dyDescent="0.15">
      <c r="B331"/>
      <c r="H331"/>
    </row>
    <row r="332" spans="2:8" x14ac:dyDescent="0.15">
      <c r="B332"/>
      <c r="H332"/>
    </row>
    <row r="333" spans="2:8" x14ac:dyDescent="0.15">
      <c r="B333"/>
      <c r="H333"/>
    </row>
    <row r="334" spans="2:8" x14ac:dyDescent="0.15">
      <c r="B334"/>
      <c r="H334"/>
    </row>
    <row r="335" spans="2:8" x14ac:dyDescent="0.15">
      <c r="B335"/>
      <c r="H335"/>
    </row>
    <row r="336" spans="2:8" x14ac:dyDescent="0.15">
      <c r="B336"/>
      <c r="H336"/>
    </row>
    <row r="337" spans="2:8" x14ac:dyDescent="0.15">
      <c r="B337"/>
      <c r="H337"/>
    </row>
    <row r="338" spans="2:8" x14ac:dyDescent="0.15">
      <c r="B338"/>
      <c r="H338"/>
    </row>
    <row r="339" spans="2:8" x14ac:dyDescent="0.15">
      <c r="B339"/>
      <c r="H339"/>
    </row>
    <row r="340" spans="2:8" x14ac:dyDescent="0.15">
      <c r="B340"/>
      <c r="H340"/>
    </row>
    <row r="341" spans="2:8" x14ac:dyDescent="0.15">
      <c r="B341"/>
      <c r="H341"/>
    </row>
    <row r="342" spans="2:8" x14ac:dyDescent="0.15">
      <c r="B342"/>
      <c r="H342"/>
    </row>
    <row r="343" spans="2:8" x14ac:dyDescent="0.15">
      <c r="B343"/>
      <c r="H343"/>
    </row>
    <row r="344" spans="2:8" x14ac:dyDescent="0.15">
      <c r="B344"/>
      <c r="H344"/>
    </row>
    <row r="345" spans="2:8" x14ac:dyDescent="0.15">
      <c r="B345"/>
      <c r="H345"/>
    </row>
    <row r="346" spans="2:8" x14ac:dyDescent="0.15">
      <c r="B346"/>
      <c r="H346"/>
    </row>
    <row r="347" spans="2:8" x14ac:dyDescent="0.15">
      <c r="B347"/>
      <c r="H347"/>
    </row>
    <row r="348" spans="2:8" x14ac:dyDescent="0.15">
      <c r="B348"/>
      <c r="H348"/>
    </row>
    <row r="349" spans="2:8" x14ac:dyDescent="0.15">
      <c r="B349"/>
      <c r="H349"/>
    </row>
    <row r="350" spans="2:8" x14ac:dyDescent="0.15">
      <c r="B350"/>
      <c r="H350"/>
    </row>
    <row r="351" spans="2:8" x14ac:dyDescent="0.15">
      <c r="B351"/>
      <c r="H351"/>
    </row>
    <row r="352" spans="2:8" x14ac:dyDescent="0.15">
      <c r="B352"/>
      <c r="H352"/>
    </row>
    <row r="353" spans="2:8" x14ac:dyDescent="0.15">
      <c r="B353"/>
      <c r="H353"/>
    </row>
    <row r="354" spans="2:8" x14ac:dyDescent="0.15">
      <c r="B354"/>
      <c r="H354"/>
    </row>
    <row r="355" spans="2:8" x14ac:dyDescent="0.15">
      <c r="B355"/>
      <c r="H355"/>
    </row>
    <row r="356" spans="2:8" x14ac:dyDescent="0.15">
      <c r="B356"/>
      <c r="H356"/>
    </row>
    <row r="357" spans="2:8" x14ac:dyDescent="0.15">
      <c r="B357"/>
      <c r="H357"/>
    </row>
    <row r="358" spans="2:8" x14ac:dyDescent="0.15">
      <c r="B358"/>
      <c r="H358"/>
    </row>
    <row r="359" spans="2:8" x14ac:dyDescent="0.15">
      <c r="B359"/>
      <c r="H359"/>
    </row>
    <row r="360" spans="2:8" x14ac:dyDescent="0.15">
      <c r="B360"/>
      <c r="H360"/>
    </row>
    <row r="361" spans="2:8" x14ac:dyDescent="0.15">
      <c r="B361"/>
      <c r="H361"/>
    </row>
    <row r="362" spans="2:8" x14ac:dyDescent="0.15">
      <c r="B362"/>
      <c r="H362"/>
    </row>
    <row r="363" spans="2:8" x14ac:dyDescent="0.15">
      <c r="B363"/>
      <c r="H363"/>
    </row>
    <row r="364" spans="2:8" x14ac:dyDescent="0.15">
      <c r="B364"/>
      <c r="H364"/>
    </row>
    <row r="365" spans="2:8" x14ac:dyDescent="0.15">
      <c r="B365"/>
      <c r="H365"/>
    </row>
    <row r="366" spans="2:8" x14ac:dyDescent="0.15">
      <c r="B366"/>
      <c r="H366"/>
    </row>
    <row r="367" spans="2:8" x14ac:dyDescent="0.15">
      <c r="B367"/>
      <c r="H367"/>
    </row>
    <row r="368" spans="2:8" x14ac:dyDescent="0.15">
      <c r="B368"/>
      <c r="H368"/>
    </row>
    <row r="369" spans="2:8" x14ac:dyDescent="0.15">
      <c r="B369"/>
      <c r="H369"/>
    </row>
    <row r="370" spans="2:8" x14ac:dyDescent="0.15">
      <c r="B370"/>
      <c r="H370"/>
    </row>
    <row r="371" spans="2:8" x14ac:dyDescent="0.15">
      <c r="B371"/>
      <c r="H371"/>
    </row>
    <row r="372" spans="2:8" x14ac:dyDescent="0.15">
      <c r="B372"/>
      <c r="H372"/>
    </row>
    <row r="373" spans="2:8" x14ac:dyDescent="0.15">
      <c r="B373"/>
      <c r="H373"/>
    </row>
    <row r="374" spans="2:8" x14ac:dyDescent="0.15">
      <c r="B374"/>
      <c r="H374"/>
    </row>
    <row r="375" spans="2:8" x14ac:dyDescent="0.15">
      <c r="B375"/>
      <c r="H375"/>
    </row>
    <row r="376" spans="2:8" x14ac:dyDescent="0.15">
      <c r="B376"/>
      <c r="H376"/>
    </row>
    <row r="377" spans="2:8" x14ac:dyDescent="0.15">
      <c r="B377"/>
      <c r="H377"/>
    </row>
    <row r="378" spans="2:8" x14ac:dyDescent="0.15">
      <c r="B378"/>
      <c r="H378"/>
    </row>
    <row r="379" spans="2:8" x14ac:dyDescent="0.15">
      <c r="B379"/>
      <c r="H379"/>
    </row>
    <row r="380" spans="2:8" x14ac:dyDescent="0.15">
      <c r="B380"/>
      <c r="H380"/>
    </row>
    <row r="381" spans="2:8" x14ac:dyDescent="0.15">
      <c r="B381"/>
      <c r="H381"/>
    </row>
    <row r="382" spans="2:8" x14ac:dyDescent="0.15">
      <c r="B382"/>
      <c r="H382"/>
    </row>
    <row r="383" spans="2:8" x14ac:dyDescent="0.15">
      <c r="B383"/>
      <c r="H383"/>
    </row>
    <row r="384" spans="2:8" x14ac:dyDescent="0.15">
      <c r="B384"/>
      <c r="H384"/>
    </row>
    <row r="385" spans="2:8" x14ac:dyDescent="0.15">
      <c r="B385"/>
      <c r="H385"/>
    </row>
    <row r="386" spans="2:8" x14ac:dyDescent="0.15">
      <c r="B386"/>
      <c r="H386"/>
    </row>
    <row r="387" spans="2:8" x14ac:dyDescent="0.15">
      <c r="B387"/>
      <c r="H387"/>
    </row>
    <row r="388" spans="2:8" x14ac:dyDescent="0.15">
      <c r="B388"/>
      <c r="H388"/>
    </row>
    <row r="389" spans="2:8" x14ac:dyDescent="0.15">
      <c r="B389"/>
      <c r="H389"/>
    </row>
    <row r="390" spans="2:8" x14ac:dyDescent="0.15">
      <c r="B390"/>
      <c r="H390"/>
    </row>
    <row r="391" spans="2:8" x14ac:dyDescent="0.15">
      <c r="B391"/>
      <c r="H391"/>
    </row>
    <row r="392" spans="2:8" x14ac:dyDescent="0.15">
      <c r="B392"/>
      <c r="H392"/>
    </row>
    <row r="393" spans="2:8" x14ac:dyDescent="0.15">
      <c r="B393"/>
      <c r="H393"/>
    </row>
    <row r="394" spans="2:8" x14ac:dyDescent="0.15">
      <c r="B394"/>
      <c r="H394"/>
    </row>
    <row r="395" spans="2:8" x14ac:dyDescent="0.15">
      <c r="B395"/>
      <c r="H395"/>
    </row>
    <row r="396" spans="2:8" x14ac:dyDescent="0.15">
      <c r="B396"/>
      <c r="H396"/>
    </row>
    <row r="397" spans="2:8" x14ac:dyDescent="0.15">
      <c r="B397"/>
      <c r="H397"/>
    </row>
    <row r="398" spans="2:8" x14ac:dyDescent="0.15">
      <c r="B398"/>
      <c r="H398"/>
    </row>
    <row r="399" spans="2:8" x14ac:dyDescent="0.15">
      <c r="B399"/>
      <c r="H399"/>
    </row>
    <row r="400" spans="2:8" x14ac:dyDescent="0.15">
      <c r="B400"/>
      <c r="H400"/>
    </row>
    <row r="401" spans="2:8" x14ac:dyDescent="0.15">
      <c r="B401"/>
      <c r="H401"/>
    </row>
    <row r="402" spans="2:8" x14ac:dyDescent="0.15">
      <c r="B402"/>
      <c r="H402"/>
    </row>
    <row r="403" spans="2:8" x14ac:dyDescent="0.15">
      <c r="B403"/>
      <c r="H403"/>
    </row>
    <row r="404" spans="2:8" x14ac:dyDescent="0.15">
      <c r="B404"/>
      <c r="H404"/>
    </row>
    <row r="405" spans="2:8" x14ac:dyDescent="0.15">
      <c r="B405"/>
      <c r="H405"/>
    </row>
    <row r="406" spans="2:8" x14ac:dyDescent="0.15">
      <c r="B406"/>
      <c r="H406"/>
    </row>
    <row r="407" spans="2:8" x14ac:dyDescent="0.15">
      <c r="B407"/>
      <c r="H407"/>
    </row>
    <row r="408" spans="2:8" x14ac:dyDescent="0.15">
      <c r="B408"/>
      <c r="H408"/>
    </row>
    <row r="409" spans="2:8" x14ac:dyDescent="0.15">
      <c r="B409"/>
      <c r="H409"/>
    </row>
    <row r="410" spans="2:8" x14ac:dyDescent="0.15">
      <c r="B410"/>
      <c r="H410"/>
    </row>
    <row r="411" spans="2:8" x14ac:dyDescent="0.15">
      <c r="B411"/>
      <c r="H411"/>
    </row>
    <row r="412" spans="2:8" x14ac:dyDescent="0.15">
      <c r="B412"/>
      <c r="H412"/>
    </row>
    <row r="413" spans="2:8" x14ac:dyDescent="0.15">
      <c r="B413"/>
      <c r="H413"/>
    </row>
    <row r="414" spans="2:8" x14ac:dyDescent="0.15">
      <c r="B414"/>
      <c r="H414"/>
    </row>
    <row r="415" spans="2:8" x14ac:dyDescent="0.15">
      <c r="B415"/>
      <c r="H415"/>
    </row>
    <row r="416" spans="2:8" x14ac:dyDescent="0.15">
      <c r="B416"/>
      <c r="H416"/>
    </row>
    <row r="417" spans="2:8" x14ac:dyDescent="0.15">
      <c r="B417"/>
      <c r="H417"/>
    </row>
    <row r="418" spans="2:8" x14ac:dyDescent="0.15">
      <c r="B418"/>
      <c r="H418"/>
    </row>
    <row r="419" spans="2:8" x14ac:dyDescent="0.15">
      <c r="B419"/>
      <c r="H419"/>
    </row>
    <row r="420" spans="2:8" x14ac:dyDescent="0.15">
      <c r="B420"/>
      <c r="H420"/>
    </row>
    <row r="421" spans="2:8" x14ac:dyDescent="0.15">
      <c r="B421"/>
      <c r="H421"/>
    </row>
    <row r="422" spans="2:8" x14ac:dyDescent="0.15">
      <c r="B422"/>
      <c r="H422"/>
    </row>
    <row r="423" spans="2:8" x14ac:dyDescent="0.15">
      <c r="B423"/>
      <c r="H423"/>
    </row>
    <row r="424" spans="2:8" x14ac:dyDescent="0.15">
      <c r="B424"/>
      <c r="H424"/>
    </row>
    <row r="425" spans="2:8" x14ac:dyDescent="0.15">
      <c r="B425"/>
      <c r="H425"/>
    </row>
    <row r="426" spans="2:8" x14ac:dyDescent="0.15">
      <c r="B426"/>
      <c r="H426"/>
    </row>
    <row r="427" spans="2:8" x14ac:dyDescent="0.15">
      <c r="B427"/>
      <c r="H427"/>
    </row>
    <row r="428" spans="2:8" x14ac:dyDescent="0.15">
      <c r="B428"/>
      <c r="H428"/>
    </row>
    <row r="429" spans="2:8" x14ac:dyDescent="0.15">
      <c r="B429"/>
      <c r="H429"/>
    </row>
    <row r="430" spans="2:8" x14ac:dyDescent="0.15">
      <c r="B430"/>
      <c r="H430"/>
    </row>
    <row r="431" spans="2:8" x14ac:dyDescent="0.15">
      <c r="B431"/>
      <c r="H431"/>
    </row>
    <row r="432" spans="2:8" x14ac:dyDescent="0.15">
      <c r="B432"/>
      <c r="H432"/>
    </row>
    <row r="433" spans="2:8" x14ac:dyDescent="0.15">
      <c r="B433"/>
      <c r="H433"/>
    </row>
    <row r="434" spans="2:8" x14ac:dyDescent="0.15">
      <c r="B434"/>
      <c r="H434"/>
    </row>
    <row r="435" spans="2:8" x14ac:dyDescent="0.15">
      <c r="B435"/>
      <c r="H435"/>
    </row>
    <row r="436" spans="2:8" x14ac:dyDescent="0.15">
      <c r="B436"/>
      <c r="H436"/>
    </row>
    <row r="437" spans="2:8" x14ac:dyDescent="0.15">
      <c r="B437"/>
      <c r="H437"/>
    </row>
    <row r="438" spans="2:8" x14ac:dyDescent="0.15">
      <c r="B438"/>
      <c r="H438"/>
    </row>
    <row r="439" spans="2:8" x14ac:dyDescent="0.15">
      <c r="B439"/>
      <c r="H439"/>
    </row>
    <row r="440" spans="2:8" x14ac:dyDescent="0.15">
      <c r="B440"/>
      <c r="H440"/>
    </row>
    <row r="441" spans="2:8" x14ac:dyDescent="0.15">
      <c r="B441"/>
      <c r="H441"/>
    </row>
    <row r="442" spans="2:8" x14ac:dyDescent="0.15">
      <c r="B442"/>
      <c r="H442"/>
    </row>
    <row r="443" spans="2:8" x14ac:dyDescent="0.15">
      <c r="B443"/>
      <c r="H443"/>
    </row>
    <row r="444" spans="2:8" x14ac:dyDescent="0.15">
      <c r="B444"/>
      <c r="H444"/>
    </row>
    <row r="445" spans="2:8" x14ac:dyDescent="0.15">
      <c r="B445"/>
      <c r="H445"/>
    </row>
    <row r="446" spans="2:8" x14ac:dyDescent="0.15">
      <c r="B446"/>
      <c r="H446"/>
    </row>
    <row r="447" spans="2:8" x14ac:dyDescent="0.15">
      <c r="B447"/>
      <c r="H447"/>
    </row>
    <row r="448" spans="2:8" x14ac:dyDescent="0.15">
      <c r="B448"/>
      <c r="H448"/>
    </row>
    <row r="449" spans="2:8" x14ac:dyDescent="0.15">
      <c r="B449"/>
      <c r="H449"/>
    </row>
    <row r="450" spans="2:8" x14ac:dyDescent="0.15">
      <c r="B450"/>
      <c r="H450"/>
    </row>
    <row r="451" spans="2:8" x14ac:dyDescent="0.15">
      <c r="B451"/>
      <c r="H451"/>
    </row>
    <row r="452" spans="2:8" x14ac:dyDescent="0.15">
      <c r="B452"/>
      <c r="H452"/>
    </row>
    <row r="453" spans="2:8" x14ac:dyDescent="0.15">
      <c r="B453"/>
      <c r="H453"/>
    </row>
    <row r="454" spans="2:8" x14ac:dyDescent="0.15">
      <c r="B454"/>
      <c r="H454"/>
    </row>
    <row r="455" spans="2:8" x14ac:dyDescent="0.15">
      <c r="B455"/>
      <c r="H455"/>
    </row>
    <row r="456" spans="2:8" x14ac:dyDescent="0.15">
      <c r="B456"/>
      <c r="H456"/>
    </row>
    <row r="457" spans="2:8" x14ac:dyDescent="0.15">
      <c r="B457"/>
      <c r="H457"/>
    </row>
    <row r="458" spans="2:8" x14ac:dyDescent="0.15">
      <c r="B458"/>
      <c r="H458"/>
    </row>
    <row r="459" spans="2:8" x14ac:dyDescent="0.15">
      <c r="B459"/>
      <c r="H459"/>
    </row>
    <row r="460" spans="2:8" x14ac:dyDescent="0.15">
      <c r="B460"/>
      <c r="H460"/>
    </row>
    <row r="461" spans="2:8" x14ac:dyDescent="0.15">
      <c r="B461"/>
      <c r="H461"/>
    </row>
    <row r="462" spans="2:8" x14ac:dyDescent="0.15">
      <c r="B462"/>
      <c r="H462"/>
    </row>
    <row r="463" spans="2:8" x14ac:dyDescent="0.15">
      <c r="B463"/>
      <c r="H463"/>
    </row>
    <row r="464" spans="2:8" x14ac:dyDescent="0.15">
      <c r="B464"/>
      <c r="H464"/>
    </row>
    <row r="465" spans="2:8" x14ac:dyDescent="0.15">
      <c r="B465"/>
      <c r="H465"/>
    </row>
    <row r="466" spans="2:8" x14ac:dyDescent="0.15">
      <c r="B466"/>
      <c r="H466"/>
    </row>
    <row r="467" spans="2:8" x14ac:dyDescent="0.15">
      <c r="B467"/>
      <c r="H467"/>
    </row>
    <row r="468" spans="2:8" x14ac:dyDescent="0.15">
      <c r="B468"/>
      <c r="H468"/>
    </row>
    <row r="469" spans="2:8" x14ac:dyDescent="0.15">
      <c r="B469"/>
      <c r="H469"/>
    </row>
    <row r="470" spans="2:8" x14ac:dyDescent="0.15">
      <c r="B470"/>
      <c r="H470"/>
    </row>
    <row r="471" spans="2:8" x14ac:dyDescent="0.15">
      <c r="B471"/>
      <c r="H471"/>
    </row>
    <row r="472" spans="2:8" x14ac:dyDescent="0.15">
      <c r="B472"/>
      <c r="H472"/>
    </row>
    <row r="473" spans="2:8" x14ac:dyDescent="0.15">
      <c r="B473"/>
      <c r="H473"/>
    </row>
    <row r="474" spans="2:8" x14ac:dyDescent="0.15">
      <c r="B474"/>
      <c r="H474"/>
    </row>
    <row r="475" spans="2:8" x14ac:dyDescent="0.15">
      <c r="B475"/>
      <c r="H475"/>
    </row>
    <row r="476" spans="2:8" x14ac:dyDescent="0.15">
      <c r="B476"/>
      <c r="H476"/>
    </row>
    <row r="477" spans="2:8" x14ac:dyDescent="0.15">
      <c r="B477"/>
      <c r="H477"/>
    </row>
    <row r="478" spans="2:8" x14ac:dyDescent="0.15">
      <c r="B478"/>
      <c r="H478"/>
    </row>
    <row r="479" spans="2:8" x14ac:dyDescent="0.15">
      <c r="B479"/>
      <c r="H479"/>
    </row>
    <row r="480" spans="2:8" x14ac:dyDescent="0.15">
      <c r="B480"/>
      <c r="H480"/>
    </row>
    <row r="481" spans="2:8" x14ac:dyDescent="0.15">
      <c r="B481"/>
      <c r="H481"/>
    </row>
    <row r="482" spans="2:8" x14ac:dyDescent="0.15">
      <c r="B482"/>
      <c r="H482"/>
    </row>
    <row r="483" spans="2:8" x14ac:dyDescent="0.15">
      <c r="B483"/>
      <c r="H483"/>
    </row>
    <row r="484" spans="2:8" x14ac:dyDescent="0.15">
      <c r="B484"/>
      <c r="H484"/>
    </row>
    <row r="485" spans="2:8" x14ac:dyDescent="0.15">
      <c r="B485"/>
      <c r="H485"/>
    </row>
    <row r="486" spans="2:8" x14ac:dyDescent="0.15">
      <c r="B486"/>
      <c r="H486"/>
    </row>
    <row r="487" spans="2:8" x14ac:dyDescent="0.15">
      <c r="B487"/>
      <c r="H487"/>
    </row>
    <row r="488" spans="2:8" x14ac:dyDescent="0.15">
      <c r="B488"/>
      <c r="H488"/>
    </row>
    <row r="489" spans="2:8" x14ac:dyDescent="0.15">
      <c r="B489"/>
      <c r="H489"/>
    </row>
    <row r="490" spans="2:8" x14ac:dyDescent="0.15">
      <c r="B490"/>
      <c r="H490"/>
    </row>
    <row r="491" spans="2:8" x14ac:dyDescent="0.15">
      <c r="B491"/>
      <c r="H491"/>
    </row>
    <row r="492" spans="2:8" x14ac:dyDescent="0.15">
      <c r="B492"/>
      <c r="H492"/>
    </row>
    <row r="493" spans="2:8" x14ac:dyDescent="0.15">
      <c r="B493"/>
      <c r="H493"/>
    </row>
    <row r="494" spans="2:8" x14ac:dyDescent="0.15">
      <c r="B494"/>
      <c r="H494"/>
    </row>
    <row r="495" spans="2:8" x14ac:dyDescent="0.15">
      <c r="B495"/>
      <c r="H495"/>
    </row>
    <row r="496" spans="2:8" x14ac:dyDescent="0.15">
      <c r="B496"/>
      <c r="H496"/>
    </row>
    <row r="497" spans="2:8" x14ac:dyDescent="0.15">
      <c r="B497"/>
      <c r="H497"/>
    </row>
    <row r="498" spans="2:8" x14ac:dyDescent="0.15">
      <c r="B498"/>
      <c r="H498"/>
    </row>
    <row r="499" spans="2:8" x14ac:dyDescent="0.15">
      <c r="B499"/>
      <c r="H499"/>
    </row>
    <row r="500" spans="2:8" x14ac:dyDescent="0.15">
      <c r="B500"/>
      <c r="H500"/>
    </row>
    <row r="501" spans="2:8" x14ac:dyDescent="0.15">
      <c r="B501"/>
      <c r="H501"/>
    </row>
    <row r="502" spans="2:8" x14ac:dyDescent="0.15">
      <c r="B502"/>
      <c r="H502"/>
    </row>
    <row r="503" spans="2:8" x14ac:dyDescent="0.15">
      <c r="B503"/>
      <c r="H503"/>
    </row>
    <row r="504" spans="2:8" x14ac:dyDescent="0.15">
      <c r="B504"/>
      <c r="H504"/>
    </row>
    <row r="505" spans="2:8" x14ac:dyDescent="0.15">
      <c r="B505"/>
      <c r="H505"/>
    </row>
    <row r="506" spans="2:8" x14ac:dyDescent="0.15">
      <c r="B506"/>
      <c r="H506"/>
    </row>
    <row r="507" spans="2:8" x14ac:dyDescent="0.15">
      <c r="B507"/>
      <c r="H507"/>
    </row>
    <row r="508" spans="2:8" x14ac:dyDescent="0.15">
      <c r="B508"/>
      <c r="H508"/>
    </row>
    <row r="509" spans="2:8" x14ac:dyDescent="0.15">
      <c r="B509"/>
      <c r="H509"/>
    </row>
    <row r="510" spans="2:8" x14ac:dyDescent="0.15">
      <c r="B510"/>
      <c r="H510"/>
    </row>
    <row r="511" spans="2:8" x14ac:dyDescent="0.15">
      <c r="B511"/>
      <c r="H511"/>
    </row>
    <row r="512" spans="2:8" x14ac:dyDescent="0.15">
      <c r="B512"/>
      <c r="H512"/>
    </row>
    <row r="513" spans="2:8" x14ac:dyDescent="0.15">
      <c r="B513"/>
      <c r="H513"/>
    </row>
    <row r="514" spans="2:8" x14ac:dyDescent="0.15">
      <c r="B514"/>
      <c r="H514"/>
    </row>
    <row r="515" spans="2:8" x14ac:dyDescent="0.15">
      <c r="B515"/>
      <c r="H515"/>
    </row>
    <row r="516" spans="2:8" x14ac:dyDescent="0.15">
      <c r="B516"/>
      <c r="H516"/>
    </row>
    <row r="517" spans="2:8" x14ac:dyDescent="0.15">
      <c r="B517"/>
      <c r="H517"/>
    </row>
    <row r="518" spans="2:8" x14ac:dyDescent="0.15">
      <c r="B518"/>
      <c r="H518"/>
    </row>
    <row r="519" spans="2:8" x14ac:dyDescent="0.15">
      <c r="B519"/>
      <c r="H519"/>
    </row>
    <row r="520" spans="2:8" x14ac:dyDescent="0.15">
      <c r="B520"/>
      <c r="H520"/>
    </row>
    <row r="521" spans="2:8" x14ac:dyDescent="0.15">
      <c r="B521"/>
      <c r="H521"/>
    </row>
    <row r="522" spans="2:8" x14ac:dyDescent="0.15">
      <c r="B522"/>
      <c r="H522"/>
    </row>
    <row r="523" spans="2:8" x14ac:dyDescent="0.15">
      <c r="B523"/>
      <c r="H523"/>
    </row>
    <row r="524" spans="2:8" x14ac:dyDescent="0.15">
      <c r="B524"/>
      <c r="H524"/>
    </row>
    <row r="525" spans="2:8" x14ac:dyDescent="0.15">
      <c r="B525"/>
      <c r="H525"/>
    </row>
    <row r="526" spans="2:8" x14ac:dyDescent="0.15">
      <c r="B526"/>
      <c r="H526"/>
    </row>
    <row r="527" spans="2:8" x14ac:dyDescent="0.15">
      <c r="B527"/>
      <c r="H527"/>
    </row>
    <row r="528" spans="2:8" x14ac:dyDescent="0.15">
      <c r="B528"/>
      <c r="H528"/>
    </row>
    <row r="529" spans="2:8" x14ac:dyDescent="0.15">
      <c r="B529"/>
      <c r="H529"/>
    </row>
    <row r="530" spans="2:8" x14ac:dyDescent="0.15">
      <c r="B530"/>
      <c r="H530"/>
    </row>
    <row r="531" spans="2:8" x14ac:dyDescent="0.15">
      <c r="B531"/>
      <c r="H531"/>
    </row>
    <row r="532" spans="2:8" x14ac:dyDescent="0.15">
      <c r="B532"/>
      <c r="H532"/>
    </row>
    <row r="533" spans="2:8" x14ac:dyDescent="0.15">
      <c r="B533"/>
      <c r="H533"/>
    </row>
    <row r="534" spans="2:8" x14ac:dyDescent="0.15">
      <c r="B534"/>
      <c r="H534"/>
    </row>
    <row r="535" spans="2:8" x14ac:dyDescent="0.15">
      <c r="B535"/>
      <c r="H535"/>
    </row>
    <row r="536" spans="2:8" x14ac:dyDescent="0.15">
      <c r="B536"/>
      <c r="H536"/>
    </row>
    <row r="537" spans="2:8" x14ac:dyDescent="0.15">
      <c r="B537"/>
      <c r="H537"/>
    </row>
    <row r="538" spans="2:8" x14ac:dyDescent="0.15">
      <c r="B538"/>
      <c r="H538"/>
    </row>
    <row r="539" spans="2:8" x14ac:dyDescent="0.15">
      <c r="B539"/>
      <c r="H539"/>
    </row>
    <row r="540" spans="2:8" x14ac:dyDescent="0.15">
      <c r="B540"/>
      <c r="H540"/>
    </row>
    <row r="541" spans="2:8" x14ac:dyDescent="0.15">
      <c r="B541"/>
      <c r="H541"/>
    </row>
    <row r="542" spans="2:8" x14ac:dyDescent="0.15">
      <c r="B542"/>
      <c r="H542"/>
    </row>
    <row r="543" spans="2:8" x14ac:dyDescent="0.15">
      <c r="B543"/>
      <c r="H543"/>
    </row>
    <row r="544" spans="2:8" x14ac:dyDescent="0.15">
      <c r="B544"/>
      <c r="H544"/>
    </row>
    <row r="545" spans="2:8" x14ac:dyDescent="0.15">
      <c r="B545"/>
      <c r="H545"/>
    </row>
    <row r="546" spans="2:8" x14ac:dyDescent="0.15">
      <c r="B546"/>
      <c r="H546"/>
    </row>
    <row r="547" spans="2:8" x14ac:dyDescent="0.15">
      <c r="B547"/>
      <c r="H547"/>
    </row>
    <row r="548" spans="2:8" x14ac:dyDescent="0.15">
      <c r="B548"/>
      <c r="H548"/>
    </row>
    <row r="549" spans="2:8" x14ac:dyDescent="0.15">
      <c r="B549"/>
      <c r="H549"/>
    </row>
    <row r="550" spans="2:8" x14ac:dyDescent="0.15">
      <c r="B550"/>
      <c r="H550"/>
    </row>
    <row r="551" spans="2:8" x14ac:dyDescent="0.15">
      <c r="B551"/>
      <c r="H551"/>
    </row>
    <row r="552" spans="2:8" x14ac:dyDescent="0.15">
      <c r="B552"/>
      <c r="H552"/>
    </row>
    <row r="553" spans="2:8" x14ac:dyDescent="0.15">
      <c r="B553"/>
      <c r="H553"/>
    </row>
    <row r="554" spans="2:8" x14ac:dyDescent="0.15">
      <c r="B554"/>
      <c r="H554"/>
    </row>
    <row r="555" spans="2:8" x14ac:dyDescent="0.15">
      <c r="B555"/>
      <c r="H555"/>
    </row>
    <row r="556" spans="2:8" x14ac:dyDescent="0.15">
      <c r="B556"/>
      <c r="H556"/>
    </row>
    <row r="557" spans="2:8" x14ac:dyDescent="0.15">
      <c r="B557"/>
      <c r="H557"/>
    </row>
    <row r="558" spans="2:8" x14ac:dyDescent="0.15">
      <c r="B558"/>
      <c r="H558"/>
    </row>
    <row r="559" spans="2:8" x14ac:dyDescent="0.15">
      <c r="B559"/>
      <c r="H559"/>
    </row>
    <row r="560" spans="2:8" x14ac:dyDescent="0.15">
      <c r="B560"/>
      <c r="H560"/>
    </row>
    <row r="561" spans="2:8" x14ac:dyDescent="0.15">
      <c r="B561"/>
      <c r="H561"/>
    </row>
    <row r="562" spans="2:8" x14ac:dyDescent="0.15">
      <c r="B562"/>
      <c r="H562"/>
    </row>
  </sheetData>
  <mergeCells count="24">
    <mergeCell ref="J31:K31"/>
    <mergeCell ref="J25:K25"/>
    <mergeCell ref="J24:K24"/>
    <mergeCell ref="J26:K26"/>
    <mergeCell ref="J30:K30"/>
    <mergeCell ref="J28:K28"/>
    <mergeCell ref="F33:I33"/>
    <mergeCell ref="J33:K33"/>
    <mergeCell ref="J32:K32"/>
    <mergeCell ref="J27:K27"/>
    <mergeCell ref="J29:K29"/>
    <mergeCell ref="A6:L6"/>
    <mergeCell ref="J7:K7"/>
    <mergeCell ref="F21:G21"/>
    <mergeCell ref="J21:K21"/>
    <mergeCell ref="J23:K23"/>
    <mergeCell ref="B7:C8"/>
    <mergeCell ref="D7:D8"/>
    <mergeCell ref="C15:E16"/>
    <mergeCell ref="J22:K22"/>
    <mergeCell ref="B15:B16"/>
    <mergeCell ref="C17:E17"/>
    <mergeCell ref="C18:E18"/>
    <mergeCell ref="C12:E12"/>
  </mergeCells>
  <phoneticPr fontId="8"/>
  <conditionalFormatting sqref="J7:K7">
    <cfRule type="cellIs" dxfId="0" priority="1" operator="between">
      <formula>43586</formula>
      <formula>43830</formula>
    </cfRule>
  </conditionalFormatting>
  <dataValidations count="2">
    <dataValidation type="list" allowBlank="1" showInputMessage="1" showErrorMessage="1" sqref="B7" xr:uid="{C68841CF-99AC-4980-B3E2-DF3884FF3917}">
      <formula1>"㈱古田衣料品店,㈱翔洋,㈱増工務店,㈱アプリア,(有)アットステージ,㈱ライフデザイン ,(有)鈴木建業,㈱ストラクス,㈱ウエハラ,樋田建設工業㈱,田中丸重建設㈱,藤田策太郎建設㈱,杉山建設工業㈱,(有)ひろまる幸夢展,㈱東急ホームズ,(有)渡部工務店,㈱モローズ,㈱アイディーエス企画,大正建設㈱,㈱アカイ,インテリア渡辺,㈱コンコード"</formula1>
    </dataValidation>
    <dataValidation type="list" allowBlank="1" showInputMessage="1" showErrorMessage="1" sqref="C9:C10" xr:uid="{A986F818-8295-458E-ACEF-155932A531B2}">
      <formula1>"㈱ライフデザイン,㈱ストラクス,"</formula1>
    </dataValidation>
  </dataValidations>
  <hyperlinks>
    <hyperlink ref="J7" location="_msocom_1" display="_msocom_1" xr:uid="{3F160437-DDB6-4066-998F-78F22875FD9E}"/>
  </hyperlinks>
  <pageMargins left="0.91" right="0" top="0.39" bottom="0.2" header="0.37" footer="0.2"/>
  <pageSetup paperSize="9" scale="95" orientation="landscape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4F95723-DC3B-4854-9C61-2E455387F1A9}">
          <x14:formula1>
            <xm:f>マスタ!$D$4:$D$25</xm:f>
          </x14:formula1>
          <xm:sqref>C22:C32</xm:sqref>
        </x14:dataValidation>
        <x14:dataValidation type="list" allowBlank="1" showInputMessage="1" showErrorMessage="1" xr:uid="{8E38AA0E-5559-4F55-ABE1-151E4537F9CA}">
          <x14:formula1>
            <xm:f>マスタ!$B$4:$B$30</xm:f>
          </x14:formula1>
          <xm:sqref>H22:H32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7EE35-2760-4975-BC7F-61E8F52EF7B1}">
  <dimension ref="A1:Q751"/>
  <sheetViews>
    <sheetView view="pageBreakPreview" topLeftCell="A48" zoomScaleNormal="100" zoomScaleSheetLayoutView="100" workbookViewId="0">
      <selection activeCell="C1" sqref="C1:E1"/>
    </sheetView>
  </sheetViews>
  <sheetFormatPr defaultRowHeight="13.5" x14ac:dyDescent="0.15"/>
  <cols>
    <col min="1" max="1" width="4.125" customWidth="1"/>
    <col min="2" max="2" width="23.75" style="4" customWidth="1"/>
    <col min="3" max="3" width="8.375" customWidth="1"/>
    <col min="4" max="4" width="10.625" customWidth="1"/>
    <col min="5" max="5" width="24.25" customWidth="1"/>
    <col min="6" max="6" width="0.125" hidden="1" customWidth="1"/>
    <col min="7" max="7" width="9.875" customWidth="1"/>
    <col min="8" max="8" width="6.375" style="5" customWidth="1"/>
    <col min="9" max="9" width="13" customWidth="1"/>
    <col min="10" max="11" width="10.625" customWidth="1"/>
    <col min="12" max="12" width="17" customWidth="1"/>
  </cols>
  <sheetData>
    <row r="1" spans="1:12" ht="30" customHeight="1" thickBot="1" x14ac:dyDescent="0.2">
      <c r="A1" s="10" t="s">
        <v>21</v>
      </c>
      <c r="B1" s="10"/>
      <c r="C1" s="155">
        <f>表紙!C15</f>
        <v>0</v>
      </c>
      <c r="D1" s="155"/>
      <c r="E1" s="155"/>
      <c r="F1" s="11"/>
      <c r="G1" s="12" t="s">
        <v>22</v>
      </c>
      <c r="H1" s="12"/>
      <c r="I1" s="12"/>
      <c r="J1" s="12"/>
      <c r="K1" s="10" t="s">
        <v>81</v>
      </c>
      <c r="L1" s="10"/>
    </row>
    <row r="2" spans="1:12" ht="24.95" customHeight="1" thickTop="1" thickBot="1" x14ac:dyDescent="0.2">
      <c r="A2" s="13"/>
      <c r="B2" s="14" t="s">
        <v>10</v>
      </c>
      <c r="C2" s="15"/>
      <c r="D2" s="16" t="s">
        <v>11</v>
      </c>
      <c r="E2" s="17"/>
      <c r="F2" s="18" t="s">
        <v>12</v>
      </c>
      <c r="G2" s="19"/>
      <c r="H2" s="20" t="s">
        <v>13</v>
      </c>
      <c r="I2" s="20" t="s">
        <v>14</v>
      </c>
      <c r="J2" s="21" t="s">
        <v>15</v>
      </c>
      <c r="K2" s="22"/>
      <c r="L2" s="20" t="s">
        <v>16</v>
      </c>
    </row>
    <row r="3" spans="1:12" ht="24.95" customHeight="1" thickTop="1" x14ac:dyDescent="0.15">
      <c r="A3" s="23"/>
      <c r="B3" s="24"/>
      <c r="C3" s="25"/>
      <c r="D3" s="162"/>
      <c r="E3" s="26"/>
      <c r="F3" s="27"/>
      <c r="G3" s="28"/>
      <c r="H3" s="29"/>
      <c r="I3" s="30"/>
      <c r="J3" s="31">
        <f>SUM(G3*I3)</f>
        <v>0</v>
      </c>
      <c r="K3" s="32"/>
      <c r="L3" s="33"/>
    </row>
    <row r="4" spans="1:12" ht="24.95" customHeight="1" x14ac:dyDescent="0.15">
      <c r="A4" s="34"/>
      <c r="B4" s="35"/>
      <c r="C4" s="161"/>
      <c r="D4" s="163"/>
      <c r="E4" s="26"/>
      <c r="F4" s="27"/>
      <c r="G4" s="28"/>
      <c r="H4" s="29"/>
      <c r="I4" s="30"/>
      <c r="J4" s="31">
        <f>SUM(G4*I4)</f>
        <v>0</v>
      </c>
      <c r="K4" s="32"/>
      <c r="L4" s="33"/>
    </row>
    <row r="5" spans="1:12" ht="24.95" customHeight="1" x14ac:dyDescent="0.15">
      <c r="A5" s="34"/>
      <c r="B5" s="36"/>
      <c r="C5" s="161"/>
      <c r="D5" s="163"/>
      <c r="E5" s="26"/>
      <c r="F5" s="27"/>
      <c r="G5" s="28"/>
      <c r="H5" s="29"/>
      <c r="I5" s="30"/>
      <c r="J5" s="31">
        <f t="shared" ref="J5:J24" si="0">SUM(G5*I5)</f>
        <v>0</v>
      </c>
      <c r="K5" s="32"/>
      <c r="L5" s="33"/>
    </row>
    <row r="6" spans="1:12" ht="24.95" customHeight="1" x14ac:dyDescent="0.15">
      <c r="A6" s="34"/>
      <c r="B6" s="35"/>
      <c r="C6" s="161"/>
      <c r="D6" s="163"/>
      <c r="E6" s="26"/>
      <c r="F6" s="27"/>
      <c r="G6" s="28"/>
      <c r="H6" s="29"/>
      <c r="I6" s="30"/>
      <c r="J6" s="31">
        <f t="shared" si="0"/>
        <v>0</v>
      </c>
      <c r="K6" s="32"/>
      <c r="L6" s="33"/>
    </row>
    <row r="7" spans="1:12" ht="24.95" customHeight="1" x14ac:dyDescent="0.15">
      <c r="A7" s="34"/>
      <c r="B7" s="35"/>
      <c r="C7" s="161"/>
      <c r="D7" s="163"/>
      <c r="E7" s="26"/>
      <c r="F7" s="27"/>
      <c r="G7" s="28"/>
      <c r="H7" s="29"/>
      <c r="I7" s="30"/>
      <c r="J7" s="31">
        <f t="shared" si="0"/>
        <v>0</v>
      </c>
      <c r="K7" s="32"/>
      <c r="L7" s="33"/>
    </row>
    <row r="8" spans="1:12" ht="24.95" customHeight="1" x14ac:dyDescent="0.15">
      <c r="A8" s="34"/>
      <c r="B8" s="35"/>
      <c r="C8" s="161"/>
      <c r="D8" s="163"/>
      <c r="E8" s="37"/>
      <c r="F8" s="27"/>
      <c r="G8" s="28"/>
      <c r="H8" s="29"/>
      <c r="I8" s="30"/>
      <c r="J8" s="31">
        <f t="shared" si="0"/>
        <v>0</v>
      </c>
      <c r="K8" s="32"/>
      <c r="L8" s="33"/>
    </row>
    <row r="9" spans="1:12" ht="24.95" customHeight="1" x14ac:dyDescent="0.15">
      <c r="A9" s="34"/>
      <c r="B9" s="35"/>
      <c r="C9" s="161"/>
      <c r="D9" s="163"/>
      <c r="E9" s="37"/>
      <c r="F9" s="27"/>
      <c r="G9" s="28"/>
      <c r="H9" s="29"/>
      <c r="I9" s="30"/>
      <c r="J9" s="31">
        <f t="shared" si="0"/>
        <v>0</v>
      </c>
      <c r="K9" s="32"/>
      <c r="L9" s="33"/>
    </row>
    <row r="10" spans="1:12" ht="24.95" customHeight="1" x14ac:dyDescent="0.15">
      <c r="A10" s="34"/>
      <c r="B10" s="35"/>
      <c r="C10" s="161"/>
      <c r="D10" s="163"/>
      <c r="E10" s="26"/>
      <c r="F10" s="27"/>
      <c r="G10" s="28"/>
      <c r="H10" s="29"/>
      <c r="I10" s="30"/>
      <c r="J10" s="31">
        <f t="shared" si="0"/>
        <v>0</v>
      </c>
      <c r="K10" s="32"/>
      <c r="L10" s="33"/>
    </row>
    <row r="11" spans="1:12" ht="24.95" customHeight="1" x14ac:dyDescent="0.15">
      <c r="A11" s="34"/>
      <c r="B11" s="35"/>
      <c r="C11" s="161"/>
      <c r="D11" s="163"/>
      <c r="E11" s="26"/>
      <c r="F11" s="27"/>
      <c r="G11" s="28"/>
      <c r="H11" s="29"/>
      <c r="I11" s="30"/>
      <c r="J11" s="31">
        <f t="shared" si="0"/>
        <v>0</v>
      </c>
      <c r="K11" s="32"/>
      <c r="L11" s="33"/>
    </row>
    <row r="12" spans="1:12" ht="24.95" customHeight="1" x14ac:dyDescent="0.15">
      <c r="A12" s="34"/>
      <c r="B12" s="35"/>
      <c r="C12" s="161"/>
      <c r="D12" s="163"/>
      <c r="E12" s="26"/>
      <c r="F12" s="27"/>
      <c r="G12" s="28"/>
      <c r="H12" s="29"/>
      <c r="I12" s="30"/>
      <c r="J12" s="31">
        <f t="shared" si="0"/>
        <v>0</v>
      </c>
      <c r="K12" s="32"/>
      <c r="L12" s="33"/>
    </row>
    <row r="13" spans="1:12" ht="24.95" customHeight="1" x14ac:dyDescent="0.15">
      <c r="A13" s="34"/>
      <c r="B13" s="35"/>
      <c r="C13" s="161"/>
      <c r="D13" s="163"/>
      <c r="E13" s="26"/>
      <c r="F13" s="27"/>
      <c r="G13" s="28"/>
      <c r="H13" s="29"/>
      <c r="I13" s="30"/>
      <c r="J13" s="31">
        <f t="shared" si="0"/>
        <v>0</v>
      </c>
      <c r="K13" s="32"/>
      <c r="L13" s="33"/>
    </row>
    <row r="14" spans="1:12" ht="24.95" customHeight="1" x14ac:dyDescent="0.15">
      <c r="A14" s="34"/>
      <c r="B14" s="35"/>
      <c r="C14" s="161"/>
      <c r="D14" s="163"/>
      <c r="E14" s="26"/>
      <c r="F14" s="27"/>
      <c r="G14" s="28"/>
      <c r="H14" s="29"/>
      <c r="I14" s="30"/>
      <c r="J14" s="31">
        <f t="shared" si="0"/>
        <v>0</v>
      </c>
      <c r="K14" s="32"/>
      <c r="L14" s="33"/>
    </row>
    <row r="15" spans="1:12" ht="24.95" customHeight="1" x14ac:dyDescent="0.15">
      <c r="A15" s="34"/>
      <c r="B15" s="35"/>
      <c r="C15" s="161"/>
      <c r="D15" s="163"/>
      <c r="E15" s="37"/>
      <c r="F15" s="27"/>
      <c r="G15" s="28"/>
      <c r="H15" s="29"/>
      <c r="I15" s="30"/>
      <c r="J15" s="31">
        <f t="shared" si="0"/>
        <v>0</v>
      </c>
      <c r="K15" s="32"/>
      <c r="L15" s="33"/>
    </row>
    <row r="16" spans="1:12" ht="24.95" customHeight="1" x14ac:dyDescent="0.15">
      <c r="A16" s="34"/>
      <c r="B16" s="35"/>
      <c r="C16" s="161"/>
      <c r="D16" s="163"/>
      <c r="E16" s="37"/>
      <c r="F16" s="27"/>
      <c r="G16" s="28"/>
      <c r="H16" s="29"/>
      <c r="I16" s="30"/>
      <c r="J16" s="31">
        <f t="shared" si="0"/>
        <v>0</v>
      </c>
      <c r="K16" s="32"/>
      <c r="L16" s="33"/>
    </row>
    <row r="17" spans="1:17" ht="24.95" customHeight="1" x14ac:dyDescent="0.15">
      <c r="A17" s="34"/>
      <c r="B17" s="35"/>
      <c r="C17" s="161"/>
      <c r="D17" s="163"/>
      <c r="E17" s="38"/>
      <c r="F17" s="27"/>
      <c r="G17" s="28"/>
      <c r="H17" s="29"/>
      <c r="I17" s="30"/>
      <c r="J17" s="31">
        <f t="shared" si="0"/>
        <v>0</v>
      </c>
      <c r="K17" s="32"/>
      <c r="L17" s="33"/>
    </row>
    <row r="18" spans="1:17" ht="24.95" customHeight="1" x14ac:dyDescent="0.15">
      <c r="A18" s="34"/>
      <c r="B18" s="35"/>
      <c r="C18" s="161"/>
      <c r="D18" s="163"/>
      <c r="E18" s="38"/>
      <c r="F18" s="27"/>
      <c r="G18" s="28"/>
      <c r="H18" s="29"/>
      <c r="I18" s="30"/>
      <c r="J18" s="31">
        <f t="shared" si="0"/>
        <v>0</v>
      </c>
      <c r="K18" s="32"/>
      <c r="L18" s="33"/>
    </row>
    <row r="19" spans="1:17" ht="24.95" customHeight="1" x14ac:dyDescent="0.15">
      <c r="A19" s="34"/>
      <c r="B19" s="35"/>
      <c r="C19" s="161"/>
      <c r="D19" s="163"/>
      <c r="E19" s="26"/>
      <c r="F19" s="27"/>
      <c r="G19" s="28"/>
      <c r="H19" s="29"/>
      <c r="I19" s="30"/>
      <c r="J19" s="31">
        <f t="shared" si="0"/>
        <v>0</v>
      </c>
      <c r="K19" s="32"/>
      <c r="L19" s="33"/>
      <c r="N19" s="7"/>
      <c r="O19" s="7"/>
      <c r="P19" s="9"/>
      <c r="Q19" s="7"/>
    </row>
    <row r="20" spans="1:17" ht="24.95" customHeight="1" x14ac:dyDescent="0.15">
      <c r="A20" s="34"/>
      <c r="B20" s="35"/>
      <c r="C20" s="161"/>
      <c r="D20" s="163"/>
      <c r="E20" s="26"/>
      <c r="F20" s="27"/>
      <c r="G20" s="28"/>
      <c r="H20" s="29"/>
      <c r="I20" s="30"/>
      <c r="J20" s="31">
        <f t="shared" si="0"/>
        <v>0</v>
      </c>
      <c r="K20" s="32"/>
      <c r="L20" s="33"/>
      <c r="N20" s="7"/>
      <c r="O20" s="7"/>
      <c r="P20" s="7"/>
      <c r="Q20" s="7"/>
    </row>
    <row r="21" spans="1:17" ht="24.95" customHeight="1" x14ac:dyDescent="0.15">
      <c r="A21" s="34"/>
      <c r="B21" s="35"/>
      <c r="C21" s="161"/>
      <c r="D21" s="163"/>
      <c r="E21" s="26"/>
      <c r="F21" s="27"/>
      <c r="G21" s="28"/>
      <c r="H21" s="29"/>
      <c r="I21" s="30"/>
      <c r="J21" s="31">
        <f t="shared" si="0"/>
        <v>0</v>
      </c>
      <c r="K21" s="32"/>
      <c r="L21" s="33"/>
      <c r="N21" s="7"/>
      <c r="O21" s="7"/>
      <c r="P21" s="7"/>
      <c r="Q21" s="7"/>
    </row>
    <row r="22" spans="1:17" ht="24.95" customHeight="1" x14ac:dyDescent="0.15">
      <c r="A22" s="34"/>
      <c r="B22" s="35"/>
      <c r="C22" s="161"/>
      <c r="D22" s="163"/>
      <c r="E22" s="26"/>
      <c r="F22" s="27"/>
      <c r="G22" s="28"/>
      <c r="H22" s="29"/>
      <c r="I22" s="30"/>
      <c r="J22" s="31">
        <f t="shared" si="0"/>
        <v>0</v>
      </c>
      <c r="K22" s="32"/>
      <c r="L22" s="33"/>
      <c r="N22" s="7"/>
      <c r="O22" s="7"/>
      <c r="P22" s="7"/>
      <c r="Q22" s="7"/>
    </row>
    <row r="23" spans="1:17" ht="24.95" customHeight="1" x14ac:dyDescent="0.15">
      <c r="A23" s="34"/>
      <c r="B23" s="35"/>
      <c r="C23" s="161"/>
      <c r="D23" s="163"/>
      <c r="E23" s="39"/>
      <c r="F23" s="27"/>
      <c r="G23" s="28"/>
      <c r="H23" s="29"/>
      <c r="I23" s="30"/>
      <c r="J23" s="31">
        <f t="shared" si="0"/>
        <v>0</v>
      </c>
      <c r="K23" s="32"/>
      <c r="L23" s="33"/>
      <c r="N23" s="7"/>
      <c r="O23" s="7"/>
      <c r="P23" s="7"/>
      <c r="Q23" s="7"/>
    </row>
    <row r="24" spans="1:17" ht="24.95" customHeight="1" x14ac:dyDescent="0.15">
      <c r="A24" s="34"/>
      <c r="B24" s="35"/>
      <c r="C24" s="161"/>
      <c r="D24" s="163"/>
      <c r="E24" s="26"/>
      <c r="F24" s="27"/>
      <c r="G24" s="28"/>
      <c r="H24" s="29"/>
      <c r="I24" s="30"/>
      <c r="J24" s="31">
        <f t="shared" si="0"/>
        <v>0</v>
      </c>
      <c r="K24" s="32"/>
      <c r="L24" s="33"/>
      <c r="N24" s="7"/>
      <c r="O24" s="7"/>
      <c r="P24" s="7"/>
      <c r="Q24" s="7"/>
    </row>
    <row r="25" spans="1:17" ht="24.95" customHeight="1" x14ac:dyDescent="0.15">
      <c r="A25" s="40"/>
      <c r="B25" s="41"/>
      <c r="C25" s="42" t="s">
        <v>23</v>
      </c>
      <c r="D25" s="43"/>
      <c r="E25" s="26"/>
      <c r="F25" s="41"/>
      <c r="G25" s="44"/>
      <c r="H25" s="29"/>
      <c r="I25" s="30"/>
      <c r="J25" s="31">
        <f>SUM(J2:K24)</f>
        <v>0</v>
      </c>
      <c r="K25" s="32"/>
      <c r="L25" s="33"/>
      <c r="N25" s="7"/>
      <c r="O25" s="7"/>
      <c r="P25" s="7"/>
      <c r="Q25" s="7"/>
    </row>
    <row r="26" spans="1:17" ht="30" customHeight="1" thickBot="1" x14ac:dyDescent="0.2">
      <c r="A26" s="10" t="s">
        <v>21</v>
      </c>
      <c r="B26" s="10"/>
      <c r="C26" s="155">
        <f>表紙!C15</f>
        <v>0</v>
      </c>
      <c r="D26" s="155"/>
      <c r="E26" s="155"/>
      <c r="F26" s="11"/>
      <c r="G26" s="12" t="s">
        <v>22</v>
      </c>
      <c r="H26" s="12"/>
      <c r="I26" s="12"/>
      <c r="J26" s="12"/>
      <c r="K26" s="10" t="s">
        <v>82</v>
      </c>
      <c r="L26" s="10"/>
    </row>
    <row r="27" spans="1:17" ht="24.95" customHeight="1" thickTop="1" thickBot="1" x14ac:dyDescent="0.2">
      <c r="A27" s="13"/>
      <c r="B27" s="14" t="s">
        <v>10</v>
      </c>
      <c r="C27" s="15"/>
      <c r="D27" s="16" t="s">
        <v>11</v>
      </c>
      <c r="E27" s="17"/>
      <c r="F27" s="18" t="s">
        <v>12</v>
      </c>
      <c r="G27" s="19"/>
      <c r="H27" s="20" t="s">
        <v>13</v>
      </c>
      <c r="I27" s="20" t="s">
        <v>14</v>
      </c>
      <c r="J27" s="21" t="s">
        <v>15</v>
      </c>
      <c r="K27" s="22"/>
      <c r="L27" s="20" t="s">
        <v>16</v>
      </c>
    </row>
    <row r="28" spans="1:17" ht="24.95" customHeight="1" thickTop="1" x14ac:dyDescent="0.15">
      <c r="A28" s="23"/>
      <c r="B28" s="24"/>
      <c r="C28" s="25"/>
      <c r="D28" s="162"/>
      <c r="E28" s="26"/>
      <c r="F28" s="27"/>
      <c r="G28" s="28"/>
      <c r="H28" s="29"/>
      <c r="I28" s="30"/>
      <c r="J28" s="31">
        <f>SUM(G28*I28)</f>
        <v>0</v>
      </c>
      <c r="K28" s="32"/>
      <c r="L28" s="33"/>
    </row>
    <row r="29" spans="1:17" ht="24.95" customHeight="1" x14ac:dyDescent="0.15">
      <c r="A29" s="34"/>
      <c r="B29" s="35"/>
      <c r="C29" s="161"/>
      <c r="D29" s="163"/>
      <c r="E29" s="26"/>
      <c r="F29" s="27"/>
      <c r="G29" s="28"/>
      <c r="H29" s="29"/>
      <c r="I29" s="30"/>
      <c r="J29" s="31">
        <f>SUM(G29*I29)</f>
        <v>0</v>
      </c>
      <c r="K29" s="32"/>
      <c r="L29" s="33"/>
    </row>
    <row r="30" spans="1:17" ht="24.95" customHeight="1" x14ac:dyDescent="0.15">
      <c r="A30" s="34"/>
      <c r="B30" s="36"/>
      <c r="C30" s="161"/>
      <c r="D30" s="163"/>
      <c r="E30" s="26"/>
      <c r="F30" s="27"/>
      <c r="G30" s="28"/>
      <c r="H30" s="29"/>
      <c r="I30" s="30"/>
      <c r="J30" s="31">
        <f t="shared" ref="J30:J49" si="1">SUM(G30*I30)</f>
        <v>0</v>
      </c>
      <c r="K30" s="32"/>
      <c r="L30" s="33"/>
    </row>
    <row r="31" spans="1:17" ht="24.95" customHeight="1" x14ac:dyDescent="0.15">
      <c r="A31" s="34"/>
      <c r="B31" s="35"/>
      <c r="C31" s="161"/>
      <c r="D31" s="163"/>
      <c r="E31" s="26"/>
      <c r="F31" s="27"/>
      <c r="G31" s="28"/>
      <c r="H31" s="29"/>
      <c r="I31" s="30"/>
      <c r="J31" s="31">
        <f t="shared" si="1"/>
        <v>0</v>
      </c>
      <c r="K31" s="32"/>
      <c r="L31" s="33"/>
    </row>
    <row r="32" spans="1:17" ht="24.95" customHeight="1" x14ac:dyDescent="0.15">
      <c r="A32" s="34"/>
      <c r="B32" s="35"/>
      <c r="C32" s="161"/>
      <c r="D32" s="163"/>
      <c r="E32" s="26"/>
      <c r="F32" s="27"/>
      <c r="G32" s="28"/>
      <c r="H32" s="29"/>
      <c r="I32" s="30"/>
      <c r="J32" s="31">
        <f t="shared" si="1"/>
        <v>0</v>
      </c>
      <c r="K32" s="32"/>
      <c r="L32" s="33"/>
      <c r="Q32" s="156"/>
    </row>
    <row r="33" spans="1:12" ht="24.95" customHeight="1" x14ac:dyDescent="0.15">
      <c r="A33" s="34"/>
      <c r="B33" s="35"/>
      <c r="C33" s="161"/>
      <c r="D33" s="163"/>
      <c r="E33" s="37"/>
      <c r="F33" s="27"/>
      <c r="G33" s="28"/>
      <c r="H33" s="29"/>
      <c r="I33" s="30"/>
      <c r="J33" s="31">
        <f t="shared" si="1"/>
        <v>0</v>
      </c>
      <c r="K33" s="32"/>
      <c r="L33" s="33"/>
    </row>
    <row r="34" spans="1:12" ht="24.95" customHeight="1" x14ac:dyDescent="0.15">
      <c r="A34" s="34"/>
      <c r="B34" s="35"/>
      <c r="C34" s="161"/>
      <c r="D34" s="163"/>
      <c r="E34" s="37"/>
      <c r="F34" s="27"/>
      <c r="G34" s="28"/>
      <c r="H34" s="29"/>
      <c r="I34" s="30"/>
      <c r="J34" s="31">
        <f t="shared" si="1"/>
        <v>0</v>
      </c>
      <c r="K34" s="32"/>
      <c r="L34" s="33"/>
    </row>
    <row r="35" spans="1:12" ht="24.95" customHeight="1" x14ac:dyDescent="0.15">
      <c r="A35" s="34"/>
      <c r="B35" s="35"/>
      <c r="C35" s="161"/>
      <c r="D35" s="163"/>
      <c r="E35" s="26"/>
      <c r="F35" s="27"/>
      <c r="G35" s="28"/>
      <c r="H35" s="29"/>
      <c r="I35" s="30"/>
      <c r="J35" s="31">
        <f t="shared" si="1"/>
        <v>0</v>
      </c>
      <c r="K35" s="32"/>
      <c r="L35" s="33"/>
    </row>
    <row r="36" spans="1:12" ht="24.95" customHeight="1" x14ac:dyDescent="0.15">
      <c r="A36" s="34"/>
      <c r="B36" s="35"/>
      <c r="C36" s="161"/>
      <c r="D36" s="163"/>
      <c r="E36" s="26"/>
      <c r="F36" s="27"/>
      <c r="G36" s="28"/>
      <c r="H36" s="29"/>
      <c r="I36" s="30"/>
      <c r="J36" s="31">
        <f t="shared" si="1"/>
        <v>0</v>
      </c>
      <c r="K36" s="32"/>
      <c r="L36" s="33"/>
    </row>
    <row r="37" spans="1:12" ht="24.95" customHeight="1" x14ac:dyDescent="0.15">
      <c r="A37" s="34"/>
      <c r="B37" s="35"/>
      <c r="C37" s="161"/>
      <c r="D37" s="163"/>
      <c r="E37" s="26"/>
      <c r="F37" s="27"/>
      <c r="G37" s="28"/>
      <c r="H37" s="29"/>
      <c r="I37" s="30"/>
      <c r="J37" s="31">
        <f t="shared" si="1"/>
        <v>0</v>
      </c>
      <c r="K37" s="32"/>
      <c r="L37" s="33"/>
    </row>
    <row r="38" spans="1:12" ht="24.95" customHeight="1" x14ac:dyDescent="0.15">
      <c r="A38" s="34"/>
      <c r="B38" s="35"/>
      <c r="C38" s="161"/>
      <c r="D38" s="163"/>
      <c r="E38" s="26"/>
      <c r="F38" s="27"/>
      <c r="G38" s="28"/>
      <c r="H38" s="29"/>
      <c r="I38" s="30"/>
      <c r="J38" s="31">
        <f t="shared" si="1"/>
        <v>0</v>
      </c>
      <c r="K38" s="32"/>
      <c r="L38" s="33"/>
    </row>
    <row r="39" spans="1:12" ht="24.95" customHeight="1" x14ac:dyDescent="0.15">
      <c r="A39" s="34"/>
      <c r="B39" s="35"/>
      <c r="C39" s="161"/>
      <c r="D39" s="163"/>
      <c r="E39" s="26"/>
      <c r="F39" s="27"/>
      <c r="G39" s="28"/>
      <c r="H39" s="29"/>
      <c r="I39" s="30"/>
      <c r="J39" s="31">
        <f t="shared" si="1"/>
        <v>0</v>
      </c>
      <c r="K39" s="32"/>
      <c r="L39" s="33"/>
    </row>
    <row r="40" spans="1:12" ht="24.95" customHeight="1" x14ac:dyDescent="0.15">
      <c r="A40" s="34"/>
      <c r="B40" s="35"/>
      <c r="C40" s="161"/>
      <c r="D40" s="163"/>
      <c r="E40" s="37"/>
      <c r="F40" s="27"/>
      <c r="G40" s="28"/>
      <c r="H40" s="29"/>
      <c r="I40" s="30"/>
      <c r="J40" s="31">
        <f t="shared" si="1"/>
        <v>0</v>
      </c>
      <c r="K40" s="32"/>
      <c r="L40" s="33"/>
    </row>
    <row r="41" spans="1:12" ht="24.95" customHeight="1" x14ac:dyDescent="0.15">
      <c r="A41" s="34"/>
      <c r="B41" s="35"/>
      <c r="C41" s="161"/>
      <c r="D41" s="163"/>
      <c r="E41" s="37"/>
      <c r="F41" s="27"/>
      <c r="G41" s="28"/>
      <c r="H41" s="29"/>
      <c r="I41" s="30"/>
      <c r="J41" s="31">
        <f t="shared" si="1"/>
        <v>0</v>
      </c>
      <c r="K41" s="32"/>
      <c r="L41" s="33"/>
    </row>
    <row r="42" spans="1:12" ht="24.95" customHeight="1" x14ac:dyDescent="0.15">
      <c r="A42" s="34"/>
      <c r="B42" s="35"/>
      <c r="C42" s="161"/>
      <c r="D42" s="163"/>
      <c r="E42" s="38"/>
      <c r="F42" s="27"/>
      <c r="G42" s="28"/>
      <c r="H42" s="29"/>
      <c r="I42" s="30"/>
      <c r="J42" s="31">
        <f t="shared" si="1"/>
        <v>0</v>
      </c>
      <c r="K42" s="32"/>
      <c r="L42" s="33"/>
    </row>
    <row r="43" spans="1:12" ht="24.95" customHeight="1" x14ac:dyDescent="0.15">
      <c r="A43" s="34"/>
      <c r="B43" s="35"/>
      <c r="C43" s="161"/>
      <c r="D43" s="163"/>
      <c r="E43" s="38"/>
      <c r="F43" s="27"/>
      <c r="G43" s="28"/>
      <c r="H43" s="29"/>
      <c r="I43" s="30"/>
      <c r="J43" s="31">
        <f t="shared" si="1"/>
        <v>0</v>
      </c>
      <c r="K43" s="32"/>
      <c r="L43" s="33"/>
    </row>
    <row r="44" spans="1:12" ht="24.95" customHeight="1" x14ac:dyDescent="0.15">
      <c r="A44" s="34"/>
      <c r="B44" s="35"/>
      <c r="C44" s="161"/>
      <c r="D44" s="163"/>
      <c r="E44" s="26"/>
      <c r="F44" s="27"/>
      <c r="G44" s="28"/>
      <c r="H44" s="29"/>
      <c r="I44" s="30"/>
      <c r="J44" s="31">
        <f t="shared" si="1"/>
        <v>0</v>
      </c>
      <c r="K44" s="32"/>
      <c r="L44" s="33"/>
    </row>
    <row r="45" spans="1:12" ht="24.95" customHeight="1" x14ac:dyDescent="0.15">
      <c r="A45" s="34"/>
      <c r="B45" s="35"/>
      <c r="C45" s="161"/>
      <c r="D45" s="163"/>
      <c r="E45" s="26"/>
      <c r="F45" s="27"/>
      <c r="G45" s="28"/>
      <c r="H45" s="29"/>
      <c r="I45" s="30"/>
      <c r="J45" s="31">
        <f t="shared" si="1"/>
        <v>0</v>
      </c>
      <c r="K45" s="32"/>
      <c r="L45" s="33"/>
    </row>
    <row r="46" spans="1:12" ht="24.95" customHeight="1" x14ac:dyDescent="0.15">
      <c r="A46" s="34"/>
      <c r="B46" s="35"/>
      <c r="C46" s="161"/>
      <c r="D46" s="163"/>
      <c r="E46" s="26"/>
      <c r="F46" s="27"/>
      <c r="G46" s="28"/>
      <c r="H46" s="29"/>
      <c r="I46" s="30"/>
      <c r="J46" s="31">
        <f t="shared" si="1"/>
        <v>0</v>
      </c>
      <c r="K46" s="32"/>
      <c r="L46" s="33"/>
    </row>
    <row r="47" spans="1:12" ht="24.95" customHeight="1" x14ac:dyDescent="0.15">
      <c r="A47" s="34"/>
      <c r="B47" s="35"/>
      <c r="C47" s="161"/>
      <c r="D47" s="163"/>
      <c r="E47" s="26"/>
      <c r="F47" s="27"/>
      <c r="G47" s="28"/>
      <c r="H47" s="29"/>
      <c r="I47" s="30"/>
      <c r="J47" s="31">
        <f t="shared" si="1"/>
        <v>0</v>
      </c>
      <c r="K47" s="32"/>
      <c r="L47" s="33"/>
    </row>
    <row r="48" spans="1:12" ht="24.95" customHeight="1" x14ac:dyDescent="0.15">
      <c r="A48" s="34"/>
      <c r="B48" s="35"/>
      <c r="C48" s="161"/>
      <c r="D48" s="163"/>
      <c r="E48" s="39"/>
      <c r="F48" s="27"/>
      <c r="G48" s="28"/>
      <c r="H48" s="29"/>
      <c r="I48" s="30"/>
      <c r="J48" s="31">
        <f t="shared" si="1"/>
        <v>0</v>
      </c>
      <c r="K48" s="32"/>
      <c r="L48" s="33"/>
    </row>
    <row r="49" spans="1:12" ht="24.95" customHeight="1" x14ac:dyDescent="0.15">
      <c r="A49" s="34"/>
      <c r="B49" s="35"/>
      <c r="C49" s="161"/>
      <c r="D49" s="163"/>
      <c r="E49" s="26"/>
      <c r="F49" s="27"/>
      <c r="G49" s="28"/>
      <c r="H49" s="29"/>
      <c r="I49" s="30"/>
      <c r="J49" s="31">
        <f t="shared" si="1"/>
        <v>0</v>
      </c>
      <c r="K49" s="32"/>
      <c r="L49" s="33"/>
    </row>
    <row r="50" spans="1:12" ht="24.95" customHeight="1" x14ac:dyDescent="0.15">
      <c r="A50" s="40"/>
      <c r="B50" s="41"/>
      <c r="C50" s="42" t="s">
        <v>23</v>
      </c>
      <c r="D50" s="43"/>
      <c r="E50" s="26"/>
      <c r="F50" s="41"/>
      <c r="G50" s="44"/>
      <c r="H50" s="45"/>
      <c r="I50" s="30"/>
      <c r="J50" s="31">
        <f>SUM(J27:K49)</f>
        <v>0</v>
      </c>
      <c r="K50" s="32"/>
      <c r="L50" s="33"/>
    </row>
    <row r="51" spans="1:12" ht="30" customHeight="1" thickBot="1" x14ac:dyDescent="0.2">
      <c r="A51" s="10" t="s">
        <v>21</v>
      </c>
      <c r="B51" s="10"/>
      <c r="C51" s="155">
        <f>表紙!C15</f>
        <v>0</v>
      </c>
      <c r="D51" s="155"/>
      <c r="E51" s="155"/>
      <c r="F51" s="11"/>
      <c r="G51" s="12" t="s">
        <v>22</v>
      </c>
      <c r="H51" s="12"/>
      <c r="I51" s="12"/>
      <c r="J51" s="12"/>
      <c r="K51" s="10" t="s">
        <v>83</v>
      </c>
      <c r="L51" s="10"/>
    </row>
    <row r="52" spans="1:12" ht="24.95" customHeight="1" thickTop="1" thickBot="1" x14ac:dyDescent="0.2">
      <c r="A52" s="13"/>
      <c r="B52" s="14" t="s">
        <v>10</v>
      </c>
      <c r="C52" s="15"/>
      <c r="D52" s="16" t="s">
        <v>11</v>
      </c>
      <c r="E52" s="17"/>
      <c r="F52" s="18" t="s">
        <v>12</v>
      </c>
      <c r="G52" s="19"/>
      <c r="H52" s="20" t="s">
        <v>13</v>
      </c>
      <c r="I52" s="20" t="s">
        <v>14</v>
      </c>
      <c r="J52" s="21" t="s">
        <v>15</v>
      </c>
      <c r="K52" s="22"/>
      <c r="L52" s="20" t="s">
        <v>16</v>
      </c>
    </row>
    <row r="53" spans="1:12" ht="24.95" customHeight="1" thickTop="1" x14ac:dyDescent="0.15">
      <c r="A53" s="23"/>
      <c r="B53" s="24"/>
      <c r="C53" s="25"/>
      <c r="D53" s="162"/>
      <c r="E53" s="26"/>
      <c r="F53" s="27"/>
      <c r="G53" s="28"/>
      <c r="H53" s="29"/>
      <c r="I53" s="30"/>
      <c r="J53" s="31">
        <f>SUM(G53*I53)</f>
        <v>0</v>
      </c>
      <c r="K53" s="32"/>
      <c r="L53" s="33"/>
    </row>
    <row r="54" spans="1:12" ht="24.95" customHeight="1" x14ac:dyDescent="0.15">
      <c r="A54" s="34"/>
      <c r="B54" s="35"/>
      <c r="C54" s="161"/>
      <c r="D54" s="163"/>
      <c r="E54" s="26"/>
      <c r="F54" s="27"/>
      <c r="G54" s="28"/>
      <c r="H54" s="29"/>
      <c r="I54" s="30"/>
      <c r="J54" s="31">
        <f>SUM(G54*I54)</f>
        <v>0</v>
      </c>
      <c r="K54" s="32"/>
      <c r="L54" s="33"/>
    </row>
    <row r="55" spans="1:12" ht="24.95" customHeight="1" x14ac:dyDescent="0.15">
      <c r="A55" s="34"/>
      <c r="B55" s="36"/>
      <c r="C55" s="161"/>
      <c r="D55" s="163"/>
      <c r="E55" s="26"/>
      <c r="F55" s="27"/>
      <c r="G55" s="28"/>
      <c r="H55" s="29"/>
      <c r="I55" s="30"/>
      <c r="J55" s="31">
        <f t="shared" ref="J55:J74" si="2">SUM(G55*I55)</f>
        <v>0</v>
      </c>
      <c r="K55" s="32"/>
      <c r="L55" s="33"/>
    </row>
    <row r="56" spans="1:12" ht="24.95" customHeight="1" x14ac:dyDescent="0.15">
      <c r="A56" s="34"/>
      <c r="B56" s="35"/>
      <c r="C56" s="161"/>
      <c r="D56" s="163"/>
      <c r="E56" s="26"/>
      <c r="F56" s="27"/>
      <c r="G56" s="28"/>
      <c r="H56" s="29"/>
      <c r="I56" s="30"/>
      <c r="J56" s="31">
        <f t="shared" si="2"/>
        <v>0</v>
      </c>
      <c r="K56" s="32"/>
      <c r="L56" s="33"/>
    </row>
    <row r="57" spans="1:12" ht="24.95" customHeight="1" x14ac:dyDescent="0.15">
      <c r="A57" s="34"/>
      <c r="B57" s="35"/>
      <c r="C57" s="161"/>
      <c r="D57" s="163"/>
      <c r="E57" s="26"/>
      <c r="F57" s="27"/>
      <c r="G57" s="28"/>
      <c r="H57" s="29"/>
      <c r="I57" s="30"/>
      <c r="J57" s="31">
        <f t="shared" si="2"/>
        <v>0</v>
      </c>
      <c r="K57" s="32"/>
      <c r="L57" s="33"/>
    </row>
    <row r="58" spans="1:12" ht="24.95" customHeight="1" x14ac:dyDescent="0.15">
      <c r="A58" s="34"/>
      <c r="B58" s="35"/>
      <c r="C58" s="161"/>
      <c r="D58" s="163"/>
      <c r="E58" s="37"/>
      <c r="F58" s="27"/>
      <c r="G58" s="28"/>
      <c r="H58" s="29"/>
      <c r="I58" s="30"/>
      <c r="J58" s="31">
        <f t="shared" si="2"/>
        <v>0</v>
      </c>
      <c r="K58" s="32"/>
      <c r="L58" s="33"/>
    </row>
    <row r="59" spans="1:12" ht="24.95" customHeight="1" x14ac:dyDescent="0.15">
      <c r="A59" s="34"/>
      <c r="B59" s="35"/>
      <c r="C59" s="161"/>
      <c r="D59" s="163"/>
      <c r="E59" s="37"/>
      <c r="F59" s="27"/>
      <c r="G59" s="28"/>
      <c r="H59" s="29"/>
      <c r="I59" s="30"/>
      <c r="J59" s="31">
        <f t="shared" si="2"/>
        <v>0</v>
      </c>
      <c r="K59" s="32"/>
      <c r="L59" s="33"/>
    </row>
    <row r="60" spans="1:12" ht="24.95" customHeight="1" x14ac:dyDescent="0.15">
      <c r="A60" s="34"/>
      <c r="B60" s="35"/>
      <c r="C60" s="161"/>
      <c r="D60" s="163"/>
      <c r="E60" s="26"/>
      <c r="F60" s="27"/>
      <c r="G60" s="28"/>
      <c r="H60" s="29"/>
      <c r="I60" s="30"/>
      <c r="J60" s="31">
        <f t="shared" si="2"/>
        <v>0</v>
      </c>
      <c r="K60" s="32"/>
      <c r="L60" s="33"/>
    </row>
    <row r="61" spans="1:12" ht="24.95" customHeight="1" x14ac:dyDescent="0.15">
      <c r="A61" s="34"/>
      <c r="B61" s="35"/>
      <c r="C61" s="161"/>
      <c r="D61" s="163"/>
      <c r="E61" s="26"/>
      <c r="F61" s="27"/>
      <c r="G61" s="28"/>
      <c r="H61" s="29"/>
      <c r="I61" s="30"/>
      <c r="J61" s="31">
        <f t="shared" si="2"/>
        <v>0</v>
      </c>
      <c r="K61" s="32"/>
      <c r="L61" s="33"/>
    </row>
    <row r="62" spans="1:12" ht="24.95" customHeight="1" x14ac:dyDescent="0.15">
      <c r="A62" s="34"/>
      <c r="B62" s="35"/>
      <c r="C62" s="161"/>
      <c r="D62" s="163"/>
      <c r="E62" s="26"/>
      <c r="F62" s="27"/>
      <c r="G62" s="28"/>
      <c r="H62" s="29"/>
      <c r="I62" s="30"/>
      <c r="J62" s="31">
        <f t="shared" si="2"/>
        <v>0</v>
      </c>
      <c r="K62" s="32"/>
      <c r="L62" s="33"/>
    </row>
    <row r="63" spans="1:12" ht="24.95" customHeight="1" x14ac:dyDescent="0.15">
      <c r="A63" s="34"/>
      <c r="B63" s="35"/>
      <c r="C63" s="161"/>
      <c r="D63" s="163"/>
      <c r="E63" s="26"/>
      <c r="F63" s="27"/>
      <c r="G63" s="28"/>
      <c r="H63" s="29"/>
      <c r="I63" s="30"/>
      <c r="J63" s="31">
        <f t="shared" si="2"/>
        <v>0</v>
      </c>
      <c r="K63" s="32"/>
      <c r="L63" s="33"/>
    </row>
    <row r="64" spans="1:12" ht="24.95" customHeight="1" x14ac:dyDescent="0.15">
      <c r="A64" s="34"/>
      <c r="B64" s="35"/>
      <c r="C64" s="161"/>
      <c r="D64" s="163"/>
      <c r="E64" s="26"/>
      <c r="F64" s="27"/>
      <c r="G64" s="28"/>
      <c r="H64" s="29"/>
      <c r="I64" s="30"/>
      <c r="J64" s="31">
        <f t="shared" si="2"/>
        <v>0</v>
      </c>
      <c r="K64" s="32"/>
      <c r="L64" s="33"/>
    </row>
    <row r="65" spans="1:12" ht="24.95" customHeight="1" x14ac:dyDescent="0.15">
      <c r="A65" s="34"/>
      <c r="B65" s="35"/>
      <c r="C65" s="161"/>
      <c r="D65" s="163"/>
      <c r="E65" s="37"/>
      <c r="F65" s="27"/>
      <c r="G65" s="28"/>
      <c r="H65" s="29"/>
      <c r="I65" s="30"/>
      <c r="J65" s="31">
        <f t="shared" si="2"/>
        <v>0</v>
      </c>
      <c r="K65" s="32"/>
      <c r="L65" s="33"/>
    </row>
    <row r="66" spans="1:12" ht="24.95" customHeight="1" x14ac:dyDescent="0.15">
      <c r="A66" s="34"/>
      <c r="B66" s="35"/>
      <c r="C66" s="161"/>
      <c r="D66" s="163"/>
      <c r="E66" s="37"/>
      <c r="F66" s="27"/>
      <c r="G66" s="28"/>
      <c r="H66" s="29"/>
      <c r="I66" s="30"/>
      <c r="J66" s="31">
        <f t="shared" si="2"/>
        <v>0</v>
      </c>
      <c r="K66" s="32"/>
      <c r="L66" s="33"/>
    </row>
    <row r="67" spans="1:12" ht="24.95" customHeight="1" x14ac:dyDescent="0.15">
      <c r="A67" s="34"/>
      <c r="B67" s="35"/>
      <c r="C67" s="161"/>
      <c r="D67" s="163"/>
      <c r="E67" s="38"/>
      <c r="F67" s="27"/>
      <c r="G67" s="28"/>
      <c r="H67" s="29"/>
      <c r="I67" s="30"/>
      <c r="J67" s="31">
        <f t="shared" si="2"/>
        <v>0</v>
      </c>
      <c r="K67" s="32"/>
      <c r="L67" s="33"/>
    </row>
    <row r="68" spans="1:12" ht="24.95" customHeight="1" x14ac:dyDescent="0.15">
      <c r="A68" s="34"/>
      <c r="B68" s="35"/>
      <c r="C68" s="161"/>
      <c r="D68" s="163"/>
      <c r="E68" s="38"/>
      <c r="F68" s="27"/>
      <c r="G68" s="28"/>
      <c r="H68" s="29"/>
      <c r="I68" s="30"/>
      <c r="J68" s="31">
        <f t="shared" si="2"/>
        <v>0</v>
      </c>
      <c r="K68" s="32"/>
      <c r="L68" s="33"/>
    </row>
    <row r="69" spans="1:12" ht="24.95" customHeight="1" x14ac:dyDescent="0.15">
      <c r="A69" s="34"/>
      <c r="B69" s="35"/>
      <c r="C69" s="161"/>
      <c r="D69" s="163"/>
      <c r="E69" s="26"/>
      <c r="F69" s="27"/>
      <c r="G69" s="28"/>
      <c r="H69" s="29"/>
      <c r="I69" s="30"/>
      <c r="J69" s="31">
        <f t="shared" si="2"/>
        <v>0</v>
      </c>
      <c r="K69" s="32"/>
      <c r="L69" s="33"/>
    </row>
    <row r="70" spans="1:12" ht="24.95" customHeight="1" x14ac:dyDescent="0.15">
      <c r="A70" s="34"/>
      <c r="B70" s="35"/>
      <c r="C70" s="161"/>
      <c r="D70" s="163"/>
      <c r="E70" s="26"/>
      <c r="F70" s="27"/>
      <c r="G70" s="28"/>
      <c r="H70" s="29"/>
      <c r="I70" s="30"/>
      <c r="J70" s="31">
        <f t="shared" si="2"/>
        <v>0</v>
      </c>
      <c r="K70" s="32"/>
      <c r="L70" s="33"/>
    </row>
    <row r="71" spans="1:12" ht="24.95" customHeight="1" x14ac:dyDescent="0.15">
      <c r="A71" s="34"/>
      <c r="B71" s="35"/>
      <c r="C71" s="161"/>
      <c r="D71" s="163"/>
      <c r="E71" s="26"/>
      <c r="F71" s="27"/>
      <c r="G71" s="28"/>
      <c r="H71" s="29"/>
      <c r="I71" s="30"/>
      <c r="J71" s="31">
        <f t="shared" si="2"/>
        <v>0</v>
      </c>
      <c r="K71" s="32"/>
      <c r="L71" s="33"/>
    </row>
    <row r="72" spans="1:12" ht="24.95" customHeight="1" x14ac:dyDescent="0.15">
      <c r="A72" s="34"/>
      <c r="B72" s="35"/>
      <c r="C72" s="161"/>
      <c r="D72" s="163"/>
      <c r="E72" s="26"/>
      <c r="F72" s="27"/>
      <c r="G72" s="28"/>
      <c r="H72" s="29"/>
      <c r="I72" s="30"/>
      <c r="J72" s="31">
        <f t="shared" si="2"/>
        <v>0</v>
      </c>
      <c r="K72" s="32"/>
      <c r="L72" s="33"/>
    </row>
    <row r="73" spans="1:12" ht="24.95" customHeight="1" x14ac:dyDescent="0.15">
      <c r="A73" s="34"/>
      <c r="B73" s="35"/>
      <c r="C73" s="161"/>
      <c r="D73" s="163"/>
      <c r="E73" s="39"/>
      <c r="F73" s="27"/>
      <c r="G73" s="28"/>
      <c r="H73" s="29"/>
      <c r="I73" s="30"/>
      <c r="J73" s="31">
        <f t="shared" si="2"/>
        <v>0</v>
      </c>
      <c r="K73" s="32"/>
      <c r="L73" s="33"/>
    </row>
    <row r="74" spans="1:12" ht="24.95" customHeight="1" x14ac:dyDescent="0.15">
      <c r="A74" s="34"/>
      <c r="B74" s="35"/>
      <c r="C74" s="161"/>
      <c r="D74" s="163"/>
      <c r="E74" s="26"/>
      <c r="F74" s="27"/>
      <c r="G74" s="28"/>
      <c r="H74" s="29"/>
      <c r="I74" s="30"/>
      <c r="J74" s="31">
        <f t="shared" si="2"/>
        <v>0</v>
      </c>
      <c r="K74" s="32"/>
      <c r="L74" s="33"/>
    </row>
    <row r="75" spans="1:12" ht="24.95" customHeight="1" x14ac:dyDescent="0.15">
      <c r="A75" s="40"/>
      <c r="B75" s="41"/>
      <c r="C75" s="42" t="s">
        <v>23</v>
      </c>
      <c r="D75" s="43"/>
      <c r="E75" s="26"/>
      <c r="F75" s="41"/>
      <c r="G75" s="44"/>
      <c r="H75" s="45"/>
      <c r="I75" s="30"/>
      <c r="J75" s="31">
        <f>SUM(J52:K74)</f>
        <v>0</v>
      </c>
      <c r="K75" s="32"/>
      <c r="L75" s="33"/>
    </row>
    <row r="76" spans="1:12" ht="30" customHeight="1" thickBot="1" x14ac:dyDescent="0.2">
      <c r="A76" s="10" t="s">
        <v>21</v>
      </c>
      <c r="B76" s="10"/>
      <c r="C76" s="155">
        <f>表紙!C15</f>
        <v>0</v>
      </c>
      <c r="D76" s="155"/>
      <c r="E76" s="155"/>
      <c r="F76" s="11"/>
      <c r="G76" s="12" t="s">
        <v>22</v>
      </c>
      <c r="H76" s="12"/>
      <c r="I76" s="12"/>
      <c r="J76" s="12"/>
      <c r="K76" s="10" t="s">
        <v>84</v>
      </c>
      <c r="L76" s="10"/>
    </row>
    <row r="77" spans="1:12" ht="24.95" customHeight="1" thickTop="1" thickBot="1" x14ac:dyDescent="0.2">
      <c r="A77" s="13"/>
      <c r="B77" s="14" t="s">
        <v>10</v>
      </c>
      <c r="C77" s="15"/>
      <c r="D77" s="16" t="s">
        <v>11</v>
      </c>
      <c r="E77" s="17"/>
      <c r="F77" s="18" t="s">
        <v>12</v>
      </c>
      <c r="G77" s="19"/>
      <c r="H77" s="20" t="s">
        <v>13</v>
      </c>
      <c r="I77" s="20" t="s">
        <v>14</v>
      </c>
      <c r="J77" s="21" t="s">
        <v>15</v>
      </c>
      <c r="K77" s="22"/>
      <c r="L77" s="20" t="s">
        <v>16</v>
      </c>
    </row>
    <row r="78" spans="1:12" ht="24.95" customHeight="1" thickTop="1" x14ac:dyDescent="0.15">
      <c r="A78" s="23"/>
      <c r="B78" s="24"/>
      <c r="C78" s="25"/>
      <c r="D78" s="162"/>
      <c r="E78" s="26"/>
      <c r="F78" s="27"/>
      <c r="G78" s="28"/>
      <c r="H78" s="29"/>
      <c r="I78" s="30"/>
      <c r="J78" s="31">
        <f>SUM(G78*I78)</f>
        <v>0</v>
      </c>
      <c r="K78" s="32"/>
      <c r="L78" s="33"/>
    </row>
    <row r="79" spans="1:12" ht="24.95" customHeight="1" x14ac:dyDescent="0.15">
      <c r="A79" s="34"/>
      <c r="B79" s="35"/>
      <c r="C79" s="161"/>
      <c r="D79" s="163"/>
      <c r="E79" s="26"/>
      <c r="F79" s="27"/>
      <c r="G79" s="28"/>
      <c r="H79" s="29"/>
      <c r="I79" s="30"/>
      <c r="J79" s="31">
        <f>SUM(G79*I79)</f>
        <v>0</v>
      </c>
      <c r="K79" s="32"/>
      <c r="L79" s="33"/>
    </row>
    <row r="80" spans="1:12" ht="24.95" customHeight="1" x14ac:dyDescent="0.15">
      <c r="A80" s="34"/>
      <c r="B80" s="36"/>
      <c r="C80" s="161"/>
      <c r="D80" s="163"/>
      <c r="E80" s="26"/>
      <c r="F80" s="27"/>
      <c r="G80" s="28"/>
      <c r="H80" s="29"/>
      <c r="I80" s="30"/>
      <c r="J80" s="31">
        <f t="shared" ref="J80:J99" si="3">SUM(G80*I80)</f>
        <v>0</v>
      </c>
      <c r="K80" s="32"/>
      <c r="L80" s="33"/>
    </row>
    <row r="81" spans="1:12" ht="24.95" customHeight="1" x14ac:dyDescent="0.15">
      <c r="A81" s="34"/>
      <c r="B81" s="35"/>
      <c r="C81" s="161"/>
      <c r="D81" s="163"/>
      <c r="E81" s="26"/>
      <c r="F81" s="27"/>
      <c r="G81" s="28"/>
      <c r="H81" s="29"/>
      <c r="I81" s="30"/>
      <c r="J81" s="31">
        <f t="shared" si="3"/>
        <v>0</v>
      </c>
      <c r="K81" s="32"/>
      <c r="L81" s="33"/>
    </row>
    <row r="82" spans="1:12" ht="24.95" customHeight="1" x14ac:dyDescent="0.15">
      <c r="A82" s="34"/>
      <c r="B82" s="35"/>
      <c r="C82" s="161"/>
      <c r="D82" s="163"/>
      <c r="E82" s="26"/>
      <c r="F82" s="27"/>
      <c r="G82" s="28"/>
      <c r="H82" s="29"/>
      <c r="I82" s="30"/>
      <c r="J82" s="31">
        <f t="shared" si="3"/>
        <v>0</v>
      </c>
      <c r="K82" s="32"/>
      <c r="L82" s="33"/>
    </row>
    <row r="83" spans="1:12" ht="24.95" customHeight="1" x14ac:dyDescent="0.15">
      <c r="A83" s="34"/>
      <c r="B83" s="35"/>
      <c r="C83" s="161"/>
      <c r="D83" s="163"/>
      <c r="E83" s="37"/>
      <c r="F83" s="27"/>
      <c r="G83" s="28"/>
      <c r="H83" s="29"/>
      <c r="I83" s="30"/>
      <c r="J83" s="31">
        <f t="shared" si="3"/>
        <v>0</v>
      </c>
      <c r="K83" s="32"/>
      <c r="L83" s="33"/>
    </row>
    <row r="84" spans="1:12" ht="24.95" customHeight="1" x14ac:dyDescent="0.15">
      <c r="A84" s="34"/>
      <c r="B84" s="35"/>
      <c r="C84" s="161"/>
      <c r="D84" s="163"/>
      <c r="E84" s="37"/>
      <c r="F84" s="27"/>
      <c r="G84" s="28"/>
      <c r="H84" s="29"/>
      <c r="I84" s="30"/>
      <c r="J84" s="31">
        <f t="shared" si="3"/>
        <v>0</v>
      </c>
      <c r="K84" s="32"/>
      <c r="L84" s="33"/>
    </row>
    <row r="85" spans="1:12" ht="24.95" customHeight="1" x14ac:dyDescent="0.15">
      <c r="A85" s="34"/>
      <c r="B85" s="35"/>
      <c r="C85" s="161"/>
      <c r="D85" s="163"/>
      <c r="E85" s="26"/>
      <c r="F85" s="27"/>
      <c r="G85" s="28"/>
      <c r="H85" s="29"/>
      <c r="I85" s="30"/>
      <c r="J85" s="31">
        <f t="shared" si="3"/>
        <v>0</v>
      </c>
      <c r="K85" s="32"/>
      <c r="L85" s="33"/>
    </row>
    <row r="86" spans="1:12" ht="24.95" customHeight="1" x14ac:dyDescent="0.15">
      <c r="A86" s="34"/>
      <c r="B86" s="35"/>
      <c r="C86" s="161"/>
      <c r="D86" s="163"/>
      <c r="E86" s="26"/>
      <c r="F86" s="27"/>
      <c r="G86" s="28"/>
      <c r="H86" s="29"/>
      <c r="I86" s="30"/>
      <c r="J86" s="31">
        <f t="shared" si="3"/>
        <v>0</v>
      </c>
      <c r="K86" s="32"/>
      <c r="L86" s="33"/>
    </row>
    <row r="87" spans="1:12" ht="24.95" customHeight="1" x14ac:dyDescent="0.15">
      <c r="A87" s="34"/>
      <c r="B87" s="35"/>
      <c r="C87" s="161"/>
      <c r="D87" s="163"/>
      <c r="E87" s="26"/>
      <c r="F87" s="27"/>
      <c r="G87" s="28"/>
      <c r="H87" s="29"/>
      <c r="I87" s="30"/>
      <c r="J87" s="31">
        <f t="shared" si="3"/>
        <v>0</v>
      </c>
      <c r="K87" s="32"/>
      <c r="L87" s="33"/>
    </row>
    <row r="88" spans="1:12" ht="24.95" customHeight="1" x14ac:dyDescent="0.15">
      <c r="A88" s="34"/>
      <c r="B88" s="35"/>
      <c r="C88" s="161"/>
      <c r="D88" s="163"/>
      <c r="E88" s="26"/>
      <c r="F88" s="27"/>
      <c r="G88" s="28"/>
      <c r="H88" s="29"/>
      <c r="I88" s="30"/>
      <c r="J88" s="31">
        <f t="shared" si="3"/>
        <v>0</v>
      </c>
      <c r="K88" s="32"/>
      <c r="L88" s="33"/>
    </row>
    <row r="89" spans="1:12" ht="24.95" customHeight="1" x14ac:dyDescent="0.15">
      <c r="A89" s="34"/>
      <c r="B89" s="35"/>
      <c r="C89" s="161"/>
      <c r="D89" s="163"/>
      <c r="E89" s="26"/>
      <c r="F89" s="27"/>
      <c r="G89" s="28"/>
      <c r="H89" s="29"/>
      <c r="I89" s="30"/>
      <c r="J89" s="31">
        <f t="shared" si="3"/>
        <v>0</v>
      </c>
      <c r="K89" s="32"/>
      <c r="L89" s="33"/>
    </row>
    <row r="90" spans="1:12" ht="24.95" customHeight="1" x14ac:dyDescent="0.15">
      <c r="A90" s="34"/>
      <c r="B90" s="35"/>
      <c r="C90" s="161"/>
      <c r="D90" s="163"/>
      <c r="E90" s="37"/>
      <c r="F90" s="27"/>
      <c r="G90" s="28"/>
      <c r="H90" s="29"/>
      <c r="I90" s="30"/>
      <c r="J90" s="31">
        <f t="shared" si="3"/>
        <v>0</v>
      </c>
      <c r="K90" s="32"/>
      <c r="L90" s="33"/>
    </row>
    <row r="91" spans="1:12" ht="24.95" customHeight="1" x14ac:dyDescent="0.15">
      <c r="A91" s="34"/>
      <c r="B91" s="35"/>
      <c r="C91" s="161"/>
      <c r="D91" s="163"/>
      <c r="E91" s="37"/>
      <c r="F91" s="27"/>
      <c r="G91" s="28"/>
      <c r="H91" s="29"/>
      <c r="I91" s="30"/>
      <c r="J91" s="31">
        <f t="shared" si="3"/>
        <v>0</v>
      </c>
      <c r="K91" s="32"/>
      <c r="L91" s="33"/>
    </row>
    <row r="92" spans="1:12" ht="24.95" customHeight="1" x14ac:dyDescent="0.15">
      <c r="A92" s="34"/>
      <c r="B92" s="35"/>
      <c r="C92" s="161"/>
      <c r="D92" s="163"/>
      <c r="E92" s="38"/>
      <c r="F92" s="27"/>
      <c r="G92" s="28"/>
      <c r="H92" s="29"/>
      <c r="I92" s="30"/>
      <c r="J92" s="31">
        <f t="shared" si="3"/>
        <v>0</v>
      </c>
      <c r="K92" s="32"/>
      <c r="L92" s="33"/>
    </row>
    <row r="93" spans="1:12" ht="24.95" customHeight="1" x14ac:dyDescent="0.15">
      <c r="A93" s="34"/>
      <c r="B93" s="35"/>
      <c r="C93" s="161"/>
      <c r="D93" s="163"/>
      <c r="E93" s="38"/>
      <c r="F93" s="27"/>
      <c r="G93" s="28"/>
      <c r="H93" s="29"/>
      <c r="I93" s="30"/>
      <c r="J93" s="31">
        <f t="shared" si="3"/>
        <v>0</v>
      </c>
      <c r="K93" s="32"/>
      <c r="L93" s="33"/>
    </row>
    <row r="94" spans="1:12" ht="24.95" customHeight="1" x14ac:dyDescent="0.15">
      <c r="A94" s="34"/>
      <c r="B94" s="35"/>
      <c r="C94" s="161"/>
      <c r="D94" s="163"/>
      <c r="E94" s="26"/>
      <c r="F94" s="27"/>
      <c r="G94" s="28"/>
      <c r="H94" s="29"/>
      <c r="I94" s="30"/>
      <c r="J94" s="31">
        <f t="shared" si="3"/>
        <v>0</v>
      </c>
      <c r="K94" s="32"/>
      <c r="L94" s="33"/>
    </row>
    <row r="95" spans="1:12" ht="24.95" customHeight="1" x14ac:dyDescent="0.15">
      <c r="A95" s="34"/>
      <c r="B95" s="35"/>
      <c r="C95" s="161"/>
      <c r="D95" s="163"/>
      <c r="E95" s="26"/>
      <c r="F95" s="27"/>
      <c r="G95" s="28"/>
      <c r="H95" s="29"/>
      <c r="I95" s="30"/>
      <c r="J95" s="31">
        <f t="shared" si="3"/>
        <v>0</v>
      </c>
      <c r="K95" s="32"/>
      <c r="L95" s="33"/>
    </row>
    <row r="96" spans="1:12" ht="24.95" customHeight="1" x14ac:dyDescent="0.15">
      <c r="A96" s="34"/>
      <c r="B96" s="35"/>
      <c r="C96" s="161"/>
      <c r="D96" s="163"/>
      <c r="E96" s="26"/>
      <c r="F96" s="27"/>
      <c r="G96" s="28"/>
      <c r="H96" s="29"/>
      <c r="I96" s="30"/>
      <c r="J96" s="31">
        <f t="shared" si="3"/>
        <v>0</v>
      </c>
      <c r="K96" s="32"/>
      <c r="L96" s="33"/>
    </row>
    <row r="97" spans="1:12" ht="24.95" customHeight="1" x14ac:dyDescent="0.15">
      <c r="A97" s="34"/>
      <c r="B97" s="35"/>
      <c r="C97" s="161"/>
      <c r="D97" s="163"/>
      <c r="E97" s="26"/>
      <c r="F97" s="27"/>
      <c r="G97" s="28"/>
      <c r="H97" s="29"/>
      <c r="I97" s="30"/>
      <c r="J97" s="31">
        <f t="shared" si="3"/>
        <v>0</v>
      </c>
      <c r="K97" s="32"/>
      <c r="L97" s="33"/>
    </row>
    <row r="98" spans="1:12" ht="24.95" customHeight="1" x14ac:dyDescent="0.15">
      <c r="A98" s="34"/>
      <c r="B98" s="35"/>
      <c r="C98" s="161"/>
      <c r="D98" s="163"/>
      <c r="E98" s="39"/>
      <c r="F98" s="27"/>
      <c r="G98" s="28"/>
      <c r="H98" s="29"/>
      <c r="I98" s="30"/>
      <c r="J98" s="31">
        <f t="shared" si="3"/>
        <v>0</v>
      </c>
      <c r="K98" s="32"/>
      <c r="L98" s="33"/>
    </row>
    <row r="99" spans="1:12" ht="24.95" customHeight="1" x14ac:dyDescent="0.15">
      <c r="A99" s="34"/>
      <c r="B99" s="35"/>
      <c r="C99" s="161"/>
      <c r="D99" s="163"/>
      <c r="E99" s="26"/>
      <c r="F99" s="27"/>
      <c r="G99" s="28"/>
      <c r="H99" s="29"/>
      <c r="I99" s="30"/>
      <c r="J99" s="31">
        <f t="shared" si="3"/>
        <v>0</v>
      </c>
      <c r="K99" s="32"/>
      <c r="L99" s="33"/>
    </row>
    <row r="100" spans="1:12" ht="24.95" customHeight="1" x14ac:dyDescent="0.15">
      <c r="A100" s="40"/>
      <c r="B100" s="41"/>
      <c r="C100" s="42" t="s">
        <v>23</v>
      </c>
      <c r="D100" s="43"/>
      <c r="E100" s="26"/>
      <c r="F100" s="41"/>
      <c r="G100" s="44"/>
      <c r="H100" s="45"/>
      <c r="I100" s="30"/>
      <c r="J100" s="31">
        <f>SUM(J77:K99)</f>
        <v>0</v>
      </c>
      <c r="K100" s="32"/>
      <c r="L100" s="33"/>
    </row>
    <row r="101" spans="1:12" ht="30" customHeight="1" thickBot="1" x14ac:dyDescent="0.2">
      <c r="A101" s="10" t="s">
        <v>21</v>
      </c>
      <c r="B101" s="10"/>
      <c r="C101" s="155">
        <f>表紙!C15</f>
        <v>0</v>
      </c>
      <c r="D101" s="155"/>
      <c r="E101" s="155"/>
      <c r="F101" s="11"/>
      <c r="G101" s="12" t="s">
        <v>22</v>
      </c>
      <c r="H101" s="12"/>
      <c r="I101" s="12"/>
      <c r="J101" s="12"/>
      <c r="K101" s="10" t="s">
        <v>85</v>
      </c>
      <c r="L101" s="10"/>
    </row>
    <row r="102" spans="1:12" ht="24.95" customHeight="1" thickTop="1" thickBot="1" x14ac:dyDescent="0.2">
      <c r="A102" s="13"/>
      <c r="B102" s="14" t="s">
        <v>10</v>
      </c>
      <c r="C102" s="15"/>
      <c r="D102" s="16" t="s">
        <v>11</v>
      </c>
      <c r="E102" s="17"/>
      <c r="F102" s="18" t="s">
        <v>12</v>
      </c>
      <c r="G102" s="19"/>
      <c r="H102" s="20" t="s">
        <v>13</v>
      </c>
      <c r="I102" s="20" t="s">
        <v>14</v>
      </c>
      <c r="J102" s="21" t="s">
        <v>15</v>
      </c>
      <c r="K102" s="22"/>
      <c r="L102" s="20" t="s">
        <v>16</v>
      </c>
    </row>
    <row r="103" spans="1:12" ht="24.95" customHeight="1" thickTop="1" x14ac:dyDescent="0.15">
      <c r="A103" s="23"/>
      <c r="B103" s="24"/>
      <c r="C103" s="25"/>
      <c r="D103" s="162"/>
      <c r="E103" s="26"/>
      <c r="F103" s="27"/>
      <c r="G103" s="28"/>
      <c r="H103" s="29"/>
      <c r="I103" s="30"/>
      <c r="J103" s="31">
        <f>SUM(G103*I103)</f>
        <v>0</v>
      </c>
      <c r="K103" s="32"/>
      <c r="L103" s="33"/>
    </row>
    <row r="104" spans="1:12" ht="24.95" customHeight="1" x14ac:dyDescent="0.15">
      <c r="A104" s="34"/>
      <c r="B104" s="35"/>
      <c r="C104" s="161"/>
      <c r="D104" s="163"/>
      <c r="E104" s="26"/>
      <c r="F104" s="27"/>
      <c r="G104" s="28"/>
      <c r="H104" s="29"/>
      <c r="I104" s="30"/>
      <c r="J104" s="31">
        <f>SUM(G104*I104)</f>
        <v>0</v>
      </c>
      <c r="K104" s="32"/>
      <c r="L104" s="33"/>
    </row>
    <row r="105" spans="1:12" ht="24.95" customHeight="1" x14ac:dyDescent="0.15">
      <c r="A105" s="34"/>
      <c r="B105" s="36"/>
      <c r="C105" s="161"/>
      <c r="D105" s="163"/>
      <c r="E105" s="26"/>
      <c r="F105" s="27"/>
      <c r="G105" s="28"/>
      <c r="H105" s="29"/>
      <c r="I105" s="30"/>
      <c r="J105" s="31">
        <f t="shared" ref="J105:J124" si="4">SUM(G105*I105)</f>
        <v>0</v>
      </c>
      <c r="K105" s="32"/>
      <c r="L105" s="33"/>
    </row>
    <row r="106" spans="1:12" ht="24.95" customHeight="1" x14ac:dyDescent="0.15">
      <c r="A106" s="34"/>
      <c r="B106" s="35"/>
      <c r="C106" s="161"/>
      <c r="D106" s="163"/>
      <c r="E106" s="26"/>
      <c r="F106" s="27"/>
      <c r="G106" s="28"/>
      <c r="H106" s="29"/>
      <c r="I106" s="30"/>
      <c r="J106" s="31">
        <f t="shared" si="4"/>
        <v>0</v>
      </c>
      <c r="K106" s="32"/>
      <c r="L106" s="33"/>
    </row>
    <row r="107" spans="1:12" ht="24.95" customHeight="1" x14ac:dyDescent="0.15">
      <c r="A107" s="34"/>
      <c r="B107" s="35"/>
      <c r="C107" s="161"/>
      <c r="D107" s="163"/>
      <c r="E107" s="26"/>
      <c r="F107" s="27"/>
      <c r="G107" s="28"/>
      <c r="H107" s="29"/>
      <c r="I107" s="30"/>
      <c r="J107" s="31">
        <f t="shared" si="4"/>
        <v>0</v>
      </c>
      <c r="K107" s="32"/>
      <c r="L107" s="33"/>
    </row>
    <row r="108" spans="1:12" ht="24.95" customHeight="1" x14ac:dyDescent="0.15">
      <c r="A108" s="34"/>
      <c r="B108" s="35"/>
      <c r="C108" s="161"/>
      <c r="D108" s="163"/>
      <c r="E108" s="37"/>
      <c r="F108" s="27"/>
      <c r="G108" s="28"/>
      <c r="H108" s="29"/>
      <c r="I108" s="30"/>
      <c r="J108" s="31">
        <f t="shared" si="4"/>
        <v>0</v>
      </c>
      <c r="K108" s="32"/>
      <c r="L108" s="33"/>
    </row>
    <row r="109" spans="1:12" ht="24.95" customHeight="1" x14ac:dyDescent="0.15">
      <c r="A109" s="34"/>
      <c r="B109" s="35"/>
      <c r="C109" s="161"/>
      <c r="D109" s="163"/>
      <c r="E109" s="37"/>
      <c r="F109" s="27"/>
      <c r="G109" s="28"/>
      <c r="H109" s="29"/>
      <c r="I109" s="30"/>
      <c r="J109" s="31">
        <f t="shared" si="4"/>
        <v>0</v>
      </c>
      <c r="K109" s="32"/>
      <c r="L109" s="33"/>
    </row>
    <row r="110" spans="1:12" ht="24.95" customHeight="1" x14ac:dyDescent="0.15">
      <c r="A110" s="34"/>
      <c r="B110" s="35"/>
      <c r="C110" s="161"/>
      <c r="D110" s="163"/>
      <c r="E110" s="26"/>
      <c r="F110" s="27"/>
      <c r="G110" s="28"/>
      <c r="H110" s="29"/>
      <c r="I110" s="30"/>
      <c r="J110" s="31">
        <f t="shared" si="4"/>
        <v>0</v>
      </c>
      <c r="K110" s="32"/>
      <c r="L110" s="33"/>
    </row>
    <row r="111" spans="1:12" ht="24.95" customHeight="1" x14ac:dyDescent="0.15">
      <c r="A111" s="34"/>
      <c r="B111" s="35"/>
      <c r="C111" s="161"/>
      <c r="D111" s="163"/>
      <c r="E111" s="26"/>
      <c r="F111" s="27"/>
      <c r="G111" s="28"/>
      <c r="H111" s="29"/>
      <c r="I111" s="30"/>
      <c r="J111" s="31">
        <f t="shared" si="4"/>
        <v>0</v>
      </c>
      <c r="K111" s="32"/>
      <c r="L111" s="33"/>
    </row>
    <row r="112" spans="1:12" ht="24.95" customHeight="1" x14ac:dyDescent="0.15">
      <c r="A112" s="34"/>
      <c r="B112" s="35"/>
      <c r="C112" s="161"/>
      <c r="D112" s="163"/>
      <c r="E112" s="26"/>
      <c r="F112" s="27"/>
      <c r="G112" s="28"/>
      <c r="H112" s="29"/>
      <c r="I112" s="30"/>
      <c r="J112" s="31">
        <f t="shared" si="4"/>
        <v>0</v>
      </c>
      <c r="K112" s="32"/>
      <c r="L112" s="33"/>
    </row>
    <row r="113" spans="1:12" ht="24.95" customHeight="1" x14ac:dyDescent="0.15">
      <c r="A113" s="34"/>
      <c r="B113" s="35"/>
      <c r="C113" s="161"/>
      <c r="D113" s="163"/>
      <c r="E113" s="26"/>
      <c r="F113" s="27"/>
      <c r="G113" s="28"/>
      <c r="H113" s="29"/>
      <c r="I113" s="30"/>
      <c r="J113" s="31">
        <f t="shared" si="4"/>
        <v>0</v>
      </c>
      <c r="K113" s="32"/>
      <c r="L113" s="33"/>
    </row>
    <row r="114" spans="1:12" ht="24.95" customHeight="1" x14ac:dyDescent="0.15">
      <c r="A114" s="34"/>
      <c r="B114" s="35"/>
      <c r="C114" s="161"/>
      <c r="D114" s="163"/>
      <c r="E114" s="26"/>
      <c r="F114" s="27"/>
      <c r="G114" s="28"/>
      <c r="H114" s="29"/>
      <c r="I114" s="30"/>
      <c r="J114" s="31">
        <f t="shared" si="4"/>
        <v>0</v>
      </c>
      <c r="K114" s="32"/>
      <c r="L114" s="33"/>
    </row>
    <row r="115" spans="1:12" ht="24.95" customHeight="1" x14ac:dyDescent="0.15">
      <c r="A115" s="34"/>
      <c r="B115" s="35"/>
      <c r="C115" s="161"/>
      <c r="D115" s="163"/>
      <c r="E115" s="37"/>
      <c r="F115" s="27"/>
      <c r="G115" s="28"/>
      <c r="H115" s="29"/>
      <c r="I115" s="30"/>
      <c r="J115" s="31">
        <f t="shared" si="4"/>
        <v>0</v>
      </c>
      <c r="K115" s="32"/>
      <c r="L115" s="33"/>
    </row>
    <row r="116" spans="1:12" ht="24.95" customHeight="1" x14ac:dyDescent="0.15">
      <c r="A116" s="34"/>
      <c r="B116" s="35"/>
      <c r="C116" s="161"/>
      <c r="D116" s="163"/>
      <c r="E116" s="37"/>
      <c r="F116" s="27"/>
      <c r="G116" s="28"/>
      <c r="H116" s="29"/>
      <c r="I116" s="30"/>
      <c r="J116" s="31">
        <f t="shared" si="4"/>
        <v>0</v>
      </c>
      <c r="K116" s="32"/>
      <c r="L116" s="33"/>
    </row>
    <row r="117" spans="1:12" ht="24.95" customHeight="1" x14ac:dyDescent="0.15">
      <c r="A117" s="34"/>
      <c r="B117" s="35"/>
      <c r="C117" s="161"/>
      <c r="D117" s="163"/>
      <c r="E117" s="38"/>
      <c r="F117" s="27"/>
      <c r="G117" s="28"/>
      <c r="H117" s="29"/>
      <c r="I117" s="30"/>
      <c r="J117" s="31">
        <f t="shared" si="4"/>
        <v>0</v>
      </c>
      <c r="K117" s="32"/>
      <c r="L117" s="33"/>
    </row>
    <row r="118" spans="1:12" ht="24.95" customHeight="1" x14ac:dyDescent="0.15">
      <c r="A118" s="34"/>
      <c r="B118" s="35"/>
      <c r="C118" s="161"/>
      <c r="D118" s="163"/>
      <c r="E118" s="38"/>
      <c r="F118" s="27"/>
      <c r="G118" s="28"/>
      <c r="H118" s="29"/>
      <c r="I118" s="30"/>
      <c r="J118" s="31">
        <f t="shared" si="4"/>
        <v>0</v>
      </c>
      <c r="K118" s="32"/>
      <c r="L118" s="33"/>
    </row>
    <row r="119" spans="1:12" ht="24.95" customHeight="1" x14ac:dyDescent="0.15">
      <c r="A119" s="34"/>
      <c r="B119" s="35"/>
      <c r="C119" s="161"/>
      <c r="D119" s="163"/>
      <c r="E119" s="26"/>
      <c r="F119" s="27"/>
      <c r="G119" s="28"/>
      <c r="H119" s="29"/>
      <c r="I119" s="30"/>
      <c r="J119" s="31">
        <f t="shared" si="4"/>
        <v>0</v>
      </c>
      <c r="K119" s="32"/>
      <c r="L119" s="33"/>
    </row>
    <row r="120" spans="1:12" ht="24.95" customHeight="1" x14ac:dyDescent="0.15">
      <c r="A120" s="34"/>
      <c r="B120" s="35"/>
      <c r="C120" s="161"/>
      <c r="D120" s="163"/>
      <c r="E120" s="26"/>
      <c r="F120" s="27"/>
      <c r="G120" s="28"/>
      <c r="H120" s="29"/>
      <c r="I120" s="30"/>
      <c r="J120" s="31">
        <f t="shared" si="4"/>
        <v>0</v>
      </c>
      <c r="K120" s="32"/>
      <c r="L120" s="33"/>
    </row>
    <row r="121" spans="1:12" ht="24.95" customHeight="1" x14ac:dyDescent="0.15">
      <c r="A121" s="34"/>
      <c r="B121" s="35"/>
      <c r="C121" s="161"/>
      <c r="D121" s="163"/>
      <c r="E121" s="26"/>
      <c r="F121" s="27"/>
      <c r="G121" s="28"/>
      <c r="H121" s="29"/>
      <c r="I121" s="30"/>
      <c r="J121" s="31">
        <f t="shared" si="4"/>
        <v>0</v>
      </c>
      <c r="K121" s="32"/>
      <c r="L121" s="33"/>
    </row>
    <row r="122" spans="1:12" ht="24.95" customHeight="1" x14ac:dyDescent="0.15">
      <c r="A122" s="34"/>
      <c r="B122" s="35"/>
      <c r="C122" s="161"/>
      <c r="D122" s="163"/>
      <c r="E122" s="26"/>
      <c r="F122" s="27"/>
      <c r="G122" s="28"/>
      <c r="H122" s="29"/>
      <c r="I122" s="30"/>
      <c r="J122" s="31">
        <f t="shared" si="4"/>
        <v>0</v>
      </c>
      <c r="K122" s="32"/>
      <c r="L122" s="33"/>
    </row>
    <row r="123" spans="1:12" ht="24.95" customHeight="1" x14ac:dyDescent="0.15">
      <c r="A123" s="34"/>
      <c r="B123" s="35"/>
      <c r="C123" s="161"/>
      <c r="D123" s="163"/>
      <c r="E123" s="39"/>
      <c r="F123" s="27"/>
      <c r="G123" s="28"/>
      <c r="H123" s="29"/>
      <c r="I123" s="30"/>
      <c r="J123" s="31">
        <f t="shared" si="4"/>
        <v>0</v>
      </c>
      <c r="K123" s="32"/>
      <c r="L123" s="33"/>
    </row>
    <row r="124" spans="1:12" ht="24.95" customHeight="1" x14ac:dyDescent="0.15">
      <c r="A124" s="34"/>
      <c r="B124" s="35"/>
      <c r="C124" s="161"/>
      <c r="D124" s="163"/>
      <c r="E124" s="26"/>
      <c r="F124" s="27"/>
      <c r="G124" s="28"/>
      <c r="H124" s="29"/>
      <c r="I124" s="30"/>
      <c r="J124" s="31">
        <f t="shared" si="4"/>
        <v>0</v>
      </c>
      <c r="K124" s="32"/>
      <c r="L124" s="33"/>
    </row>
    <row r="125" spans="1:12" ht="24.95" customHeight="1" x14ac:dyDescent="0.15">
      <c r="A125" s="40"/>
      <c r="B125" s="41"/>
      <c r="C125" s="42" t="s">
        <v>23</v>
      </c>
      <c r="D125" s="43"/>
      <c r="E125" s="26"/>
      <c r="F125" s="41"/>
      <c r="G125" s="44"/>
      <c r="H125" s="45"/>
      <c r="I125" s="30"/>
      <c r="J125" s="31">
        <f>SUM(J102:K124)</f>
        <v>0</v>
      </c>
      <c r="K125" s="32"/>
      <c r="L125" s="33"/>
    </row>
    <row r="126" spans="1:12" ht="30" customHeight="1" thickBot="1" x14ac:dyDescent="0.2">
      <c r="A126" s="10" t="s">
        <v>21</v>
      </c>
      <c r="B126" s="10"/>
      <c r="C126" s="155">
        <f>表紙!C15</f>
        <v>0</v>
      </c>
      <c r="D126" s="155"/>
      <c r="E126" s="155"/>
      <c r="F126" s="11"/>
      <c r="G126" s="12" t="s">
        <v>22</v>
      </c>
      <c r="H126" s="12"/>
      <c r="I126" s="12"/>
      <c r="J126" s="12"/>
      <c r="K126" s="10" t="s">
        <v>86</v>
      </c>
      <c r="L126" s="10"/>
    </row>
    <row r="127" spans="1:12" ht="24.95" customHeight="1" thickTop="1" thickBot="1" x14ac:dyDescent="0.2">
      <c r="A127" s="13"/>
      <c r="B127" s="14" t="s">
        <v>10</v>
      </c>
      <c r="C127" s="15"/>
      <c r="D127" s="16" t="s">
        <v>11</v>
      </c>
      <c r="E127" s="17"/>
      <c r="F127" s="18" t="s">
        <v>12</v>
      </c>
      <c r="G127" s="19"/>
      <c r="H127" s="20" t="s">
        <v>13</v>
      </c>
      <c r="I127" s="20" t="s">
        <v>14</v>
      </c>
      <c r="J127" s="21" t="s">
        <v>15</v>
      </c>
      <c r="K127" s="22"/>
      <c r="L127" s="20" t="s">
        <v>16</v>
      </c>
    </row>
    <row r="128" spans="1:12" ht="24.95" customHeight="1" thickTop="1" x14ac:dyDescent="0.15">
      <c r="A128" s="23"/>
      <c r="B128" s="24"/>
      <c r="C128" s="25"/>
      <c r="D128" s="162"/>
      <c r="E128" s="26"/>
      <c r="F128" s="27"/>
      <c r="G128" s="28"/>
      <c r="H128" s="29"/>
      <c r="I128" s="30"/>
      <c r="J128" s="31">
        <f>SUM(G128*I128)</f>
        <v>0</v>
      </c>
      <c r="K128" s="32"/>
      <c r="L128" s="33"/>
    </row>
    <row r="129" spans="1:12" ht="24.95" customHeight="1" x14ac:dyDescent="0.15">
      <c r="A129" s="34"/>
      <c r="B129" s="35"/>
      <c r="C129" s="161"/>
      <c r="D129" s="163"/>
      <c r="E129" s="26"/>
      <c r="F129" s="27"/>
      <c r="G129" s="28"/>
      <c r="H129" s="29"/>
      <c r="I129" s="30"/>
      <c r="J129" s="31">
        <f>SUM(G129*I129)</f>
        <v>0</v>
      </c>
      <c r="K129" s="32"/>
      <c r="L129" s="33"/>
    </row>
    <row r="130" spans="1:12" ht="24.95" customHeight="1" x14ac:dyDescent="0.15">
      <c r="A130" s="34"/>
      <c r="B130" s="36"/>
      <c r="C130" s="161"/>
      <c r="D130" s="163"/>
      <c r="E130" s="26"/>
      <c r="F130" s="27"/>
      <c r="G130" s="28"/>
      <c r="H130" s="29"/>
      <c r="I130" s="30"/>
      <c r="J130" s="31">
        <f t="shared" ref="J130:J149" si="5">SUM(G130*I130)</f>
        <v>0</v>
      </c>
      <c r="K130" s="32"/>
      <c r="L130" s="33"/>
    </row>
    <row r="131" spans="1:12" ht="24.95" customHeight="1" x14ac:dyDescent="0.15">
      <c r="A131" s="34"/>
      <c r="B131" s="35"/>
      <c r="C131" s="161"/>
      <c r="D131" s="163"/>
      <c r="E131" s="26"/>
      <c r="F131" s="27"/>
      <c r="G131" s="28"/>
      <c r="H131" s="29"/>
      <c r="I131" s="30"/>
      <c r="J131" s="31">
        <f t="shared" si="5"/>
        <v>0</v>
      </c>
      <c r="K131" s="32"/>
      <c r="L131" s="33"/>
    </row>
    <row r="132" spans="1:12" ht="24.95" customHeight="1" x14ac:dyDescent="0.15">
      <c r="A132" s="34"/>
      <c r="B132" s="35"/>
      <c r="C132" s="161"/>
      <c r="D132" s="163"/>
      <c r="E132" s="26"/>
      <c r="F132" s="27"/>
      <c r="G132" s="28"/>
      <c r="H132" s="29"/>
      <c r="I132" s="30"/>
      <c r="J132" s="31">
        <f t="shared" si="5"/>
        <v>0</v>
      </c>
      <c r="K132" s="32"/>
      <c r="L132" s="33"/>
    </row>
    <row r="133" spans="1:12" ht="24.95" customHeight="1" x14ac:dyDescent="0.15">
      <c r="A133" s="34"/>
      <c r="B133" s="35"/>
      <c r="C133" s="161"/>
      <c r="D133" s="163"/>
      <c r="E133" s="37"/>
      <c r="F133" s="27"/>
      <c r="G133" s="28"/>
      <c r="H133" s="29"/>
      <c r="I133" s="30"/>
      <c r="J133" s="31">
        <f t="shared" si="5"/>
        <v>0</v>
      </c>
      <c r="K133" s="32"/>
      <c r="L133" s="33"/>
    </row>
    <row r="134" spans="1:12" ht="24.95" customHeight="1" x14ac:dyDescent="0.15">
      <c r="A134" s="34"/>
      <c r="B134" s="35"/>
      <c r="C134" s="161"/>
      <c r="D134" s="163"/>
      <c r="E134" s="37"/>
      <c r="F134" s="27"/>
      <c r="G134" s="28"/>
      <c r="H134" s="29"/>
      <c r="I134" s="30"/>
      <c r="J134" s="31">
        <f t="shared" si="5"/>
        <v>0</v>
      </c>
      <c r="K134" s="32"/>
      <c r="L134" s="33"/>
    </row>
    <row r="135" spans="1:12" ht="24.95" customHeight="1" x14ac:dyDescent="0.15">
      <c r="A135" s="34"/>
      <c r="B135" s="35"/>
      <c r="C135" s="161"/>
      <c r="D135" s="163"/>
      <c r="E135" s="26"/>
      <c r="F135" s="27"/>
      <c r="G135" s="28"/>
      <c r="H135" s="29"/>
      <c r="I135" s="30"/>
      <c r="J135" s="31">
        <f t="shared" si="5"/>
        <v>0</v>
      </c>
      <c r="K135" s="32"/>
      <c r="L135" s="33"/>
    </row>
    <row r="136" spans="1:12" ht="24.95" customHeight="1" x14ac:dyDescent="0.15">
      <c r="A136" s="34"/>
      <c r="B136" s="35"/>
      <c r="C136" s="161"/>
      <c r="D136" s="163"/>
      <c r="E136" s="26"/>
      <c r="F136" s="27"/>
      <c r="G136" s="28"/>
      <c r="H136" s="29"/>
      <c r="I136" s="30"/>
      <c r="J136" s="31">
        <f t="shared" si="5"/>
        <v>0</v>
      </c>
      <c r="K136" s="32"/>
      <c r="L136" s="33"/>
    </row>
    <row r="137" spans="1:12" ht="24.95" customHeight="1" x14ac:dyDescent="0.15">
      <c r="A137" s="34"/>
      <c r="B137" s="35"/>
      <c r="C137" s="161"/>
      <c r="D137" s="163"/>
      <c r="E137" s="26"/>
      <c r="F137" s="27"/>
      <c r="G137" s="28"/>
      <c r="H137" s="29"/>
      <c r="I137" s="30"/>
      <c r="J137" s="31">
        <f t="shared" si="5"/>
        <v>0</v>
      </c>
      <c r="K137" s="32"/>
      <c r="L137" s="33"/>
    </row>
    <row r="138" spans="1:12" ht="24.95" customHeight="1" x14ac:dyDescent="0.15">
      <c r="A138" s="34"/>
      <c r="B138" s="35"/>
      <c r="C138" s="161"/>
      <c r="D138" s="163"/>
      <c r="E138" s="26"/>
      <c r="F138" s="27"/>
      <c r="G138" s="28"/>
      <c r="H138" s="29"/>
      <c r="I138" s="30"/>
      <c r="J138" s="31">
        <f t="shared" si="5"/>
        <v>0</v>
      </c>
      <c r="K138" s="32"/>
      <c r="L138" s="33"/>
    </row>
    <row r="139" spans="1:12" ht="24.95" customHeight="1" x14ac:dyDescent="0.15">
      <c r="A139" s="34"/>
      <c r="B139" s="35"/>
      <c r="C139" s="161"/>
      <c r="D139" s="163"/>
      <c r="E139" s="26"/>
      <c r="F139" s="27"/>
      <c r="G139" s="28"/>
      <c r="H139" s="29"/>
      <c r="I139" s="30"/>
      <c r="J139" s="31">
        <f t="shared" si="5"/>
        <v>0</v>
      </c>
      <c r="K139" s="32"/>
      <c r="L139" s="33"/>
    </row>
    <row r="140" spans="1:12" ht="24.95" customHeight="1" x14ac:dyDescent="0.15">
      <c r="A140" s="34"/>
      <c r="B140" s="35"/>
      <c r="C140" s="161"/>
      <c r="D140" s="163"/>
      <c r="E140" s="37"/>
      <c r="F140" s="27"/>
      <c r="G140" s="28"/>
      <c r="H140" s="29"/>
      <c r="I140" s="30"/>
      <c r="J140" s="31">
        <f t="shared" si="5"/>
        <v>0</v>
      </c>
      <c r="K140" s="32"/>
      <c r="L140" s="33"/>
    </row>
    <row r="141" spans="1:12" ht="24.95" customHeight="1" x14ac:dyDescent="0.15">
      <c r="A141" s="34"/>
      <c r="B141" s="35"/>
      <c r="C141" s="161"/>
      <c r="D141" s="163"/>
      <c r="E141" s="37"/>
      <c r="F141" s="27"/>
      <c r="G141" s="28"/>
      <c r="H141" s="29"/>
      <c r="I141" s="30"/>
      <c r="J141" s="31">
        <f t="shared" si="5"/>
        <v>0</v>
      </c>
      <c r="K141" s="32"/>
      <c r="L141" s="33"/>
    </row>
    <row r="142" spans="1:12" ht="24.95" customHeight="1" x14ac:dyDescent="0.15">
      <c r="A142" s="34"/>
      <c r="B142" s="35"/>
      <c r="C142" s="161"/>
      <c r="D142" s="163"/>
      <c r="E142" s="38"/>
      <c r="F142" s="27"/>
      <c r="G142" s="28"/>
      <c r="H142" s="29"/>
      <c r="I142" s="30"/>
      <c r="J142" s="31">
        <f t="shared" si="5"/>
        <v>0</v>
      </c>
      <c r="K142" s="32"/>
      <c r="L142" s="33"/>
    </row>
    <row r="143" spans="1:12" ht="24.95" customHeight="1" x14ac:dyDescent="0.15">
      <c r="A143" s="34"/>
      <c r="B143" s="35"/>
      <c r="C143" s="161"/>
      <c r="D143" s="163"/>
      <c r="E143" s="38"/>
      <c r="F143" s="27"/>
      <c r="G143" s="28"/>
      <c r="H143" s="29"/>
      <c r="I143" s="30"/>
      <c r="J143" s="31">
        <f t="shared" si="5"/>
        <v>0</v>
      </c>
      <c r="K143" s="32"/>
      <c r="L143" s="33"/>
    </row>
    <row r="144" spans="1:12" ht="24.95" customHeight="1" x14ac:dyDescent="0.15">
      <c r="A144" s="34"/>
      <c r="B144" s="35"/>
      <c r="C144" s="161"/>
      <c r="D144" s="163"/>
      <c r="E144" s="26"/>
      <c r="F144" s="27"/>
      <c r="G144" s="28"/>
      <c r="H144" s="29"/>
      <c r="I144" s="30"/>
      <c r="J144" s="31">
        <f t="shared" si="5"/>
        <v>0</v>
      </c>
      <c r="K144" s="32"/>
      <c r="L144" s="33"/>
    </row>
    <row r="145" spans="1:12" ht="24.95" customHeight="1" x14ac:dyDescent="0.15">
      <c r="A145" s="34"/>
      <c r="B145" s="35"/>
      <c r="C145" s="161"/>
      <c r="D145" s="163"/>
      <c r="E145" s="26"/>
      <c r="F145" s="27"/>
      <c r="G145" s="28"/>
      <c r="H145" s="29"/>
      <c r="I145" s="30"/>
      <c r="J145" s="31">
        <f t="shared" si="5"/>
        <v>0</v>
      </c>
      <c r="K145" s="32"/>
      <c r="L145" s="33"/>
    </row>
    <row r="146" spans="1:12" ht="24.95" customHeight="1" x14ac:dyDescent="0.15">
      <c r="A146" s="34"/>
      <c r="B146" s="35"/>
      <c r="C146" s="161"/>
      <c r="D146" s="163"/>
      <c r="E146" s="26"/>
      <c r="F146" s="27"/>
      <c r="G146" s="28"/>
      <c r="H146" s="29"/>
      <c r="I146" s="30"/>
      <c r="J146" s="31">
        <f t="shared" si="5"/>
        <v>0</v>
      </c>
      <c r="K146" s="32"/>
      <c r="L146" s="33"/>
    </row>
    <row r="147" spans="1:12" ht="24.95" customHeight="1" x14ac:dyDescent="0.15">
      <c r="A147" s="34"/>
      <c r="B147" s="35"/>
      <c r="C147" s="161"/>
      <c r="D147" s="163"/>
      <c r="E147" s="26"/>
      <c r="F147" s="27"/>
      <c r="G147" s="28"/>
      <c r="H147" s="29"/>
      <c r="I147" s="30"/>
      <c r="J147" s="31">
        <f t="shared" si="5"/>
        <v>0</v>
      </c>
      <c r="K147" s="32"/>
      <c r="L147" s="33"/>
    </row>
    <row r="148" spans="1:12" ht="24.95" customHeight="1" x14ac:dyDescent="0.15">
      <c r="A148" s="34"/>
      <c r="B148" s="35"/>
      <c r="C148" s="161"/>
      <c r="D148" s="163"/>
      <c r="E148" s="39"/>
      <c r="F148" s="27"/>
      <c r="G148" s="28"/>
      <c r="H148" s="29"/>
      <c r="I148" s="30"/>
      <c r="J148" s="31">
        <f t="shared" si="5"/>
        <v>0</v>
      </c>
      <c r="K148" s="32"/>
      <c r="L148" s="33"/>
    </row>
    <row r="149" spans="1:12" ht="24.95" customHeight="1" x14ac:dyDescent="0.15">
      <c r="A149" s="34"/>
      <c r="B149" s="35"/>
      <c r="C149" s="161"/>
      <c r="D149" s="163"/>
      <c r="E149" s="26"/>
      <c r="F149" s="27"/>
      <c r="G149" s="28"/>
      <c r="H149" s="29"/>
      <c r="I149" s="30"/>
      <c r="J149" s="31">
        <f t="shared" si="5"/>
        <v>0</v>
      </c>
      <c r="K149" s="32"/>
      <c r="L149" s="33"/>
    </row>
    <row r="150" spans="1:12" ht="24.95" customHeight="1" x14ac:dyDescent="0.15">
      <c r="A150" s="40"/>
      <c r="B150" s="41"/>
      <c r="C150" s="42" t="s">
        <v>23</v>
      </c>
      <c r="D150" s="43"/>
      <c r="E150" s="26"/>
      <c r="F150" s="41"/>
      <c r="G150" s="44"/>
      <c r="H150" s="45"/>
      <c r="I150" s="30"/>
      <c r="J150" s="31">
        <f>SUM(J127:K149)</f>
        <v>0</v>
      </c>
      <c r="K150" s="32"/>
      <c r="L150" s="33"/>
    </row>
    <row r="151" spans="1:12" ht="30" customHeight="1" thickBot="1" x14ac:dyDescent="0.2">
      <c r="A151" s="10" t="s">
        <v>21</v>
      </c>
      <c r="B151" s="10"/>
      <c r="C151" s="155">
        <f>表紙!C15</f>
        <v>0</v>
      </c>
      <c r="D151" s="155"/>
      <c r="E151" s="155"/>
      <c r="F151" s="11"/>
      <c r="G151" s="12" t="s">
        <v>22</v>
      </c>
      <c r="H151" s="12"/>
      <c r="I151" s="12"/>
      <c r="J151" s="12"/>
      <c r="K151" s="10" t="s">
        <v>87</v>
      </c>
      <c r="L151" s="10"/>
    </row>
    <row r="152" spans="1:12" ht="24.95" customHeight="1" thickTop="1" thickBot="1" x14ac:dyDescent="0.2">
      <c r="A152" s="13"/>
      <c r="B152" s="14" t="s">
        <v>10</v>
      </c>
      <c r="C152" s="15"/>
      <c r="D152" s="16" t="s">
        <v>11</v>
      </c>
      <c r="E152" s="17"/>
      <c r="F152" s="18" t="s">
        <v>12</v>
      </c>
      <c r="G152" s="19"/>
      <c r="H152" s="20" t="s">
        <v>13</v>
      </c>
      <c r="I152" s="20" t="s">
        <v>14</v>
      </c>
      <c r="J152" s="21" t="s">
        <v>15</v>
      </c>
      <c r="K152" s="22"/>
      <c r="L152" s="20" t="s">
        <v>16</v>
      </c>
    </row>
    <row r="153" spans="1:12" ht="24.95" customHeight="1" thickTop="1" x14ac:dyDescent="0.15">
      <c r="A153" s="23"/>
      <c r="B153" s="24"/>
      <c r="C153" s="25"/>
      <c r="D153" s="162"/>
      <c r="E153" s="26"/>
      <c r="F153" s="27"/>
      <c r="G153" s="28"/>
      <c r="H153" s="29"/>
      <c r="I153" s="30"/>
      <c r="J153" s="31">
        <f>SUM(G153*I153)</f>
        <v>0</v>
      </c>
      <c r="K153" s="32"/>
      <c r="L153" s="33"/>
    </row>
    <row r="154" spans="1:12" ht="24.95" customHeight="1" x14ac:dyDescent="0.15">
      <c r="A154" s="34"/>
      <c r="B154" s="35"/>
      <c r="C154" s="161"/>
      <c r="D154" s="163"/>
      <c r="E154" s="26"/>
      <c r="F154" s="27"/>
      <c r="G154" s="28"/>
      <c r="H154" s="29"/>
      <c r="I154" s="30"/>
      <c r="J154" s="31">
        <f>SUM(G154*I154)</f>
        <v>0</v>
      </c>
      <c r="K154" s="32"/>
      <c r="L154" s="33"/>
    </row>
    <row r="155" spans="1:12" ht="24.95" customHeight="1" x14ac:dyDescent="0.15">
      <c r="A155" s="34"/>
      <c r="B155" s="36"/>
      <c r="C155" s="161"/>
      <c r="D155" s="163"/>
      <c r="E155" s="26"/>
      <c r="F155" s="27"/>
      <c r="G155" s="28"/>
      <c r="H155" s="29"/>
      <c r="I155" s="30"/>
      <c r="J155" s="31">
        <f t="shared" ref="J155:J174" si="6">SUM(G155*I155)</f>
        <v>0</v>
      </c>
      <c r="K155" s="32"/>
      <c r="L155" s="33"/>
    </row>
    <row r="156" spans="1:12" ht="24.95" customHeight="1" x14ac:dyDescent="0.15">
      <c r="A156" s="34"/>
      <c r="B156" s="35"/>
      <c r="C156" s="161"/>
      <c r="D156" s="163"/>
      <c r="E156" s="26"/>
      <c r="F156" s="27"/>
      <c r="G156" s="28"/>
      <c r="H156" s="29"/>
      <c r="I156" s="30"/>
      <c r="J156" s="31">
        <f t="shared" si="6"/>
        <v>0</v>
      </c>
      <c r="K156" s="32"/>
      <c r="L156" s="33"/>
    </row>
    <row r="157" spans="1:12" ht="24.95" customHeight="1" x14ac:dyDescent="0.15">
      <c r="A157" s="34"/>
      <c r="B157" s="35"/>
      <c r="C157" s="161"/>
      <c r="D157" s="163"/>
      <c r="E157" s="26"/>
      <c r="F157" s="27"/>
      <c r="G157" s="28"/>
      <c r="H157" s="29"/>
      <c r="I157" s="30"/>
      <c r="J157" s="31">
        <f t="shared" si="6"/>
        <v>0</v>
      </c>
      <c r="K157" s="32"/>
      <c r="L157" s="33"/>
    </row>
    <row r="158" spans="1:12" ht="24.95" customHeight="1" x14ac:dyDescent="0.15">
      <c r="A158" s="34"/>
      <c r="B158" s="35"/>
      <c r="C158" s="161"/>
      <c r="D158" s="163"/>
      <c r="E158" s="37"/>
      <c r="F158" s="27"/>
      <c r="G158" s="28"/>
      <c r="H158" s="29"/>
      <c r="I158" s="30"/>
      <c r="J158" s="31">
        <f t="shared" si="6"/>
        <v>0</v>
      </c>
      <c r="K158" s="32"/>
      <c r="L158" s="33"/>
    </row>
    <row r="159" spans="1:12" ht="24.95" customHeight="1" x14ac:dyDescent="0.15">
      <c r="A159" s="34"/>
      <c r="B159" s="35"/>
      <c r="C159" s="161"/>
      <c r="D159" s="163"/>
      <c r="E159" s="37"/>
      <c r="F159" s="27"/>
      <c r="G159" s="28"/>
      <c r="H159" s="29"/>
      <c r="I159" s="30"/>
      <c r="J159" s="31">
        <f t="shared" si="6"/>
        <v>0</v>
      </c>
      <c r="K159" s="32"/>
      <c r="L159" s="33"/>
    </row>
    <row r="160" spans="1:12" ht="24.95" customHeight="1" x14ac:dyDescent="0.15">
      <c r="A160" s="34"/>
      <c r="B160" s="35"/>
      <c r="C160" s="161"/>
      <c r="D160" s="163"/>
      <c r="E160" s="26"/>
      <c r="F160" s="27"/>
      <c r="G160" s="28"/>
      <c r="H160" s="29"/>
      <c r="I160" s="30"/>
      <c r="J160" s="31">
        <f t="shared" si="6"/>
        <v>0</v>
      </c>
      <c r="K160" s="32"/>
      <c r="L160" s="33"/>
    </row>
    <row r="161" spans="1:12" ht="24.95" customHeight="1" x14ac:dyDescent="0.15">
      <c r="A161" s="34"/>
      <c r="B161" s="35"/>
      <c r="C161" s="161"/>
      <c r="D161" s="163"/>
      <c r="E161" s="26"/>
      <c r="F161" s="27"/>
      <c r="G161" s="28"/>
      <c r="H161" s="29"/>
      <c r="I161" s="30"/>
      <c r="J161" s="31">
        <f t="shared" si="6"/>
        <v>0</v>
      </c>
      <c r="K161" s="32"/>
      <c r="L161" s="33"/>
    </row>
    <row r="162" spans="1:12" ht="24.95" customHeight="1" x14ac:dyDescent="0.15">
      <c r="A162" s="34"/>
      <c r="B162" s="35"/>
      <c r="C162" s="161"/>
      <c r="D162" s="163"/>
      <c r="E162" s="26"/>
      <c r="F162" s="27"/>
      <c r="G162" s="28"/>
      <c r="H162" s="29"/>
      <c r="I162" s="30"/>
      <c r="J162" s="31">
        <f t="shared" si="6"/>
        <v>0</v>
      </c>
      <c r="K162" s="32"/>
      <c r="L162" s="33"/>
    </row>
    <row r="163" spans="1:12" ht="24.95" customHeight="1" x14ac:dyDescent="0.15">
      <c r="A163" s="34"/>
      <c r="B163" s="35"/>
      <c r="C163" s="161"/>
      <c r="D163" s="163"/>
      <c r="E163" s="26"/>
      <c r="F163" s="27"/>
      <c r="G163" s="28"/>
      <c r="H163" s="29"/>
      <c r="I163" s="30"/>
      <c r="J163" s="31">
        <f t="shared" si="6"/>
        <v>0</v>
      </c>
      <c r="K163" s="32"/>
      <c r="L163" s="33"/>
    </row>
    <row r="164" spans="1:12" ht="24.95" customHeight="1" x14ac:dyDescent="0.15">
      <c r="A164" s="34"/>
      <c r="B164" s="35"/>
      <c r="C164" s="161"/>
      <c r="D164" s="163"/>
      <c r="E164" s="26"/>
      <c r="F164" s="27"/>
      <c r="G164" s="28"/>
      <c r="H164" s="29"/>
      <c r="I164" s="30"/>
      <c r="J164" s="31">
        <f t="shared" si="6"/>
        <v>0</v>
      </c>
      <c r="K164" s="32"/>
      <c r="L164" s="33"/>
    </row>
    <row r="165" spans="1:12" ht="24.95" customHeight="1" x14ac:dyDescent="0.15">
      <c r="A165" s="34"/>
      <c r="B165" s="35"/>
      <c r="C165" s="161"/>
      <c r="D165" s="163"/>
      <c r="E165" s="37"/>
      <c r="F165" s="27"/>
      <c r="G165" s="28"/>
      <c r="H165" s="29"/>
      <c r="I165" s="30"/>
      <c r="J165" s="31">
        <f t="shared" si="6"/>
        <v>0</v>
      </c>
      <c r="K165" s="32"/>
      <c r="L165" s="33"/>
    </row>
    <row r="166" spans="1:12" ht="24.95" customHeight="1" x14ac:dyDescent="0.15">
      <c r="A166" s="34"/>
      <c r="B166" s="35"/>
      <c r="C166" s="161"/>
      <c r="D166" s="163"/>
      <c r="E166" s="37"/>
      <c r="F166" s="27"/>
      <c r="G166" s="28"/>
      <c r="H166" s="29"/>
      <c r="I166" s="30"/>
      <c r="J166" s="31">
        <f t="shared" si="6"/>
        <v>0</v>
      </c>
      <c r="K166" s="32"/>
      <c r="L166" s="33"/>
    </row>
    <row r="167" spans="1:12" ht="24.95" customHeight="1" x14ac:dyDescent="0.15">
      <c r="A167" s="34"/>
      <c r="B167" s="35"/>
      <c r="C167" s="161"/>
      <c r="D167" s="163"/>
      <c r="E167" s="38"/>
      <c r="F167" s="27"/>
      <c r="G167" s="28"/>
      <c r="H167" s="29"/>
      <c r="I167" s="30"/>
      <c r="J167" s="31">
        <f t="shared" si="6"/>
        <v>0</v>
      </c>
      <c r="K167" s="32"/>
      <c r="L167" s="33"/>
    </row>
    <row r="168" spans="1:12" ht="24.95" customHeight="1" x14ac:dyDescent="0.15">
      <c r="A168" s="34"/>
      <c r="B168" s="35"/>
      <c r="C168" s="161"/>
      <c r="D168" s="163"/>
      <c r="E168" s="38"/>
      <c r="F168" s="27"/>
      <c r="G168" s="28"/>
      <c r="H168" s="29"/>
      <c r="I168" s="30"/>
      <c r="J168" s="31">
        <f t="shared" si="6"/>
        <v>0</v>
      </c>
      <c r="K168" s="32"/>
      <c r="L168" s="33"/>
    </row>
    <row r="169" spans="1:12" ht="24.95" customHeight="1" x14ac:dyDescent="0.15">
      <c r="A169" s="34"/>
      <c r="B169" s="35"/>
      <c r="C169" s="161"/>
      <c r="D169" s="163"/>
      <c r="E169" s="26"/>
      <c r="F169" s="27"/>
      <c r="G169" s="28"/>
      <c r="H169" s="29"/>
      <c r="I169" s="30"/>
      <c r="J169" s="31">
        <f t="shared" si="6"/>
        <v>0</v>
      </c>
      <c r="K169" s="32"/>
      <c r="L169" s="33"/>
    </row>
    <row r="170" spans="1:12" ht="24.95" customHeight="1" x14ac:dyDescent="0.15">
      <c r="A170" s="34"/>
      <c r="B170" s="35"/>
      <c r="C170" s="161"/>
      <c r="D170" s="163"/>
      <c r="E170" s="26"/>
      <c r="F170" s="27"/>
      <c r="G170" s="28"/>
      <c r="H170" s="29"/>
      <c r="I170" s="30"/>
      <c r="J170" s="31">
        <f t="shared" si="6"/>
        <v>0</v>
      </c>
      <c r="K170" s="32"/>
      <c r="L170" s="33"/>
    </row>
    <row r="171" spans="1:12" ht="24.95" customHeight="1" x14ac:dyDescent="0.15">
      <c r="A171" s="34"/>
      <c r="B171" s="35"/>
      <c r="C171" s="161"/>
      <c r="D171" s="163"/>
      <c r="E171" s="26"/>
      <c r="F171" s="27"/>
      <c r="G171" s="28"/>
      <c r="H171" s="29"/>
      <c r="I171" s="30"/>
      <c r="J171" s="31">
        <f t="shared" si="6"/>
        <v>0</v>
      </c>
      <c r="K171" s="32"/>
      <c r="L171" s="33"/>
    </row>
    <row r="172" spans="1:12" ht="24.95" customHeight="1" x14ac:dyDescent="0.15">
      <c r="A172" s="34"/>
      <c r="B172" s="35"/>
      <c r="C172" s="161"/>
      <c r="D172" s="163"/>
      <c r="E172" s="26"/>
      <c r="F172" s="27"/>
      <c r="G172" s="28"/>
      <c r="H172" s="29"/>
      <c r="I172" s="30"/>
      <c r="J172" s="31">
        <f t="shared" si="6"/>
        <v>0</v>
      </c>
      <c r="K172" s="32"/>
      <c r="L172" s="33"/>
    </row>
    <row r="173" spans="1:12" ht="24.95" customHeight="1" x14ac:dyDescent="0.15">
      <c r="A173" s="34"/>
      <c r="B173" s="35"/>
      <c r="C173" s="161"/>
      <c r="D173" s="163"/>
      <c r="E173" s="39"/>
      <c r="F173" s="27"/>
      <c r="G173" s="28"/>
      <c r="H173" s="29"/>
      <c r="I173" s="30"/>
      <c r="J173" s="31">
        <f t="shared" si="6"/>
        <v>0</v>
      </c>
      <c r="K173" s="32"/>
      <c r="L173" s="33"/>
    </row>
    <row r="174" spans="1:12" ht="24.95" customHeight="1" x14ac:dyDescent="0.15">
      <c r="A174" s="34"/>
      <c r="B174" s="35"/>
      <c r="C174" s="161"/>
      <c r="D174" s="163"/>
      <c r="E174" s="26"/>
      <c r="F174" s="27"/>
      <c r="G174" s="28"/>
      <c r="H174" s="29"/>
      <c r="I174" s="30"/>
      <c r="J174" s="31">
        <f t="shared" si="6"/>
        <v>0</v>
      </c>
      <c r="K174" s="32"/>
      <c r="L174" s="33"/>
    </row>
    <row r="175" spans="1:12" ht="24.95" customHeight="1" x14ac:dyDescent="0.15">
      <c r="A175" s="40"/>
      <c r="B175" s="41"/>
      <c r="C175" s="42" t="s">
        <v>23</v>
      </c>
      <c r="D175" s="43"/>
      <c r="E175" s="26"/>
      <c r="F175" s="41"/>
      <c r="G175" s="44"/>
      <c r="H175" s="45"/>
      <c r="I175" s="30"/>
      <c r="J175" s="31">
        <f>SUM(J152:K174)</f>
        <v>0</v>
      </c>
      <c r="K175" s="32"/>
      <c r="L175" s="33"/>
    </row>
    <row r="176" spans="1:12" ht="30" customHeight="1" thickBot="1" x14ac:dyDescent="0.2">
      <c r="A176" s="10" t="s">
        <v>21</v>
      </c>
      <c r="B176" s="10"/>
      <c r="C176" s="155">
        <f>表紙!C15</f>
        <v>0</v>
      </c>
      <c r="D176" s="155"/>
      <c r="E176" s="155"/>
      <c r="F176" s="11"/>
      <c r="G176" s="12" t="s">
        <v>22</v>
      </c>
      <c r="H176" s="12"/>
      <c r="I176" s="12"/>
      <c r="J176" s="12"/>
      <c r="K176" s="10" t="s">
        <v>88</v>
      </c>
      <c r="L176" s="10"/>
    </row>
    <row r="177" spans="1:12" ht="24.95" customHeight="1" thickTop="1" thickBot="1" x14ac:dyDescent="0.2">
      <c r="A177" s="13"/>
      <c r="B177" s="14" t="s">
        <v>10</v>
      </c>
      <c r="C177" s="15"/>
      <c r="D177" s="16" t="s">
        <v>11</v>
      </c>
      <c r="E177" s="17"/>
      <c r="F177" s="18" t="s">
        <v>12</v>
      </c>
      <c r="G177" s="19"/>
      <c r="H177" s="20" t="s">
        <v>13</v>
      </c>
      <c r="I177" s="20" t="s">
        <v>14</v>
      </c>
      <c r="J177" s="21" t="s">
        <v>15</v>
      </c>
      <c r="K177" s="22"/>
      <c r="L177" s="20" t="s">
        <v>16</v>
      </c>
    </row>
    <row r="178" spans="1:12" ht="24.95" customHeight="1" thickTop="1" x14ac:dyDescent="0.15">
      <c r="A178" s="23"/>
      <c r="B178" s="24"/>
      <c r="C178" s="25"/>
      <c r="D178" s="162"/>
      <c r="E178" s="26"/>
      <c r="F178" s="27"/>
      <c r="G178" s="28"/>
      <c r="H178" s="29"/>
      <c r="I178" s="30"/>
      <c r="J178" s="31">
        <f>SUM(G178*I178)</f>
        <v>0</v>
      </c>
      <c r="K178" s="32"/>
      <c r="L178" s="33"/>
    </row>
    <row r="179" spans="1:12" ht="24.95" customHeight="1" x14ac:dyDescent="0.15">
      <c r="A179" s="34"/>
      <c r="B179" s="35"/>
      <c r="C179" s="161"/>
      <c r="D179" s="163"/>
      <c r="E179" s="26"/>
      <c r="F179" s="27"/>
      <c r="G179" s="28"/>
      <c r="H179" s="29"/>
      <c r="I179" s="30"/>
      <c r="J179" s="31">
        <f>SUM(G179*I179)</f>
        <v>0</v>
      </c>
      <c r="K179" s="32"/>
      <c r="L179" s="33"/>
    </row>
    <row r="180" spans="1:12" ht="24.95" customHeight="1" x14ac:dyDescent="0.15">
      <c r="A180" s="34"/>
      <c r="B180" s="36"/>
      <c r="C180" s="161"/>
      <c r="D180" s="163"/>
      <c r="E180" s="26"/>
      <c r="F180" s="27"/>
      <c r="G180" s="28"/>
      <c r="H180" s="29"/>
      <c r="I180" s="30"/>
      <c r="J180" s="31">
        <f t="shared" ref="J180:J199" si="7">SUM(G180*I180)</f>
        <v>0</v>
      </c>
      <c r="K180" s="32"/>
      <c r="L180" s="33"/>
    </row>
    <row r="181" spans="1:12" ht="24.95" customHeight="1" x14ac:dyDescent="0.15">
      <c r="A181" s="34"/>
      <c r="B181" s="35"/>
      <c r="C181" s="161"/>
      <c r="D181" s="163"/>
      <c r="E181" s="26"/>
      <c r="F181" s="27"/>
      <c r="G181" s="28"/>
      <c r="H181" s="29"/>
      <c r="I181" s="30"/>
      <c r="J181" s="31">
        <f t="shared" si="7"/>
        <v>0</v>
      </c>
      <c r="K181" s="32"/>
      <c r="L181" s="33"/>
    </row>
    <row r="182" spans="1:12" ht="24.95" customHeight="1" x14ac:dyDescent="0.15">
      <c r="A182" s="34"/>
      <c r="B182" s="35"/>
      <c r="C182" s="161"/>
      <c r="D182" s="163"/>
      <c r="E182" s="26"/>
      <c r="F182" s="27"/>
      <c r="G182" s="28"/>
      <c r="H182" s="29"/>
      <c r="I182" s="30"/>
      <c r="J182" s="31">
        <f t="shared" si="7"/>
        <v>0</v>
      </c>
      <c r="K182" s="32"/>
      <c r="L182" s="33"/>
    </row>
    <row r="183" spans="1:12" ht="24.95" customHeight="1" x14ac:dyDescent="0.15">
      <c r="A183" s="34"/>
      <c r="B183" s="35"/>
      <c r="C183" s="161"/>
      <c r="D183" s="163"/>
      <c r="E183" s="37"/>
      <c r="F183" s="27"/>
      <c r="G183" s="28"/>
      <c r="H183" s="29"/>
      <c r="I183" s="30"/>
      <c r="J183" s="31">
        <f t="shared" si="7"/>
        <v>0</v>
      </c>
      <c r="K183" s="32"/>
      <c r="L183" s="33"/>
    </row>
    <row r="184" spans="1:12" ht="24.95" customHeight="1" x14ac:dyDescent="0.15">
      <c r="A184" s="34"/>
      <c r="B184" s="35"/>
      <c r="C184" s="161"/>
      <c r="D184" s="163"/>
      <c r="E184" s="37"/>
      <c r="F184" s="27"/>
      <c r="G184" s="28"/>
      <c r="H184" s="29"/>
      <c r="I184" s="30"/>
      <c r="J184" s="31">
        <f t="shared" si="7"/>
        <v>0</v>
      </c>
      <c r="K184" s="32"/>
      <c r="L184" s="33"/>
    </row>
    <row r="185" spans="1:12" ht="24.95" customHeight="1" x14ac:dyDescent="0.15">
      <c r="A185" s="34"/>
      <c r="B185" s="35"/>
      <c r="C185" s="161"/>
      <c r="D185" s="163"/>
      <c r="E185" s="26"/>
      <c r="F185" s="27"/>
      <c r="G185" s="28"/>
      <c r="H185" s="29"/>
      <c r="I185" s="30"/>
      <c r="J185" s="31">
        <f t="shared" si="7"/>
        <v>0</v>
      </c>
      <c r="K185" s="32"/>
      <c r="L185" s="33"/>
    </row>
    <row r="186" spans="1:12" ht="24.95" customHeight="1" x14ac:dyDescent="0.15">
      <c r="A186" s="34"/>
      <c r="B186" s="35"/>
      <c r="C186" s="161"/>
      <c r="D186" s="163"/>
      <c r="E186" s="26"/>
      <c r="F186" s="27"/>
      <c r="G186" s="28"/>
      <c r="H186" s="29"/>
      <c r="I186" s="30"/>
      <c r="J186" s="31">
        <f t="shared" si="7"/>
        <v>0</v>
      </c>
      <c r="K186" s="32"/>
      <c r="L186" s="33"/>
    </row>
    <row r="187" spans="1:12" ht="24.95" customHeight="1" x14ac:dyDescent="0.15">
      <c r="A187" s="34"/>
      <c r="B187" s="35"/>
      <c r="C187" s="161"/>
      <c r="D187" s="163"/>
      <c r="E187" s="26"/>
      <c r="F187" s="27"/>
      <c r="G187" s="28"/>
      <c r="H187" s="29"/>
      <c r="I187" s="30"/>
      <c r="J187" s="31">
        <f t="shared" si="7"/>
        <v>0</v>
      </c>
      <c r="K187" s="32"/>
      <c r="L187" s="33"/>
    </row>
    <row r="188" spans="1:12" ht="24.95" customHeight="1" x14ac:dyDescent="0.15">
      <c r="A188" s="34"/>
      <c r="B188" s="35"/>
      <c r="C188" s="161"/>
      <c r="D188" s="163"/>
      <c r="E188" s="26"/>
      <c r="F188" s="27"/>
      <c r="G188" s="28"/>
      <c r="H188" s="29"/>
      <c r="I188" s="30"/>
      <c r="J188" s="31">
        <f t="shared" si="7"/>
        <v>0</v>
      </c>
      <c r="K188" s="32"/>
      <c r="L188" s="33"/>
    </row>
    <row r="189" spans="1:12" ht="24.95" customHeight="1" x14ac:dyDescent="0.15">
      <c r="A189" s="34"/>
      <c r="B189" s="35"/>
      <c r="C189" s="161"/>
      <c r="D189" s="163"/>
      <c r="E189" s="26"/>
      <c r="F189" s="27"/>
      <c r="G189" s="28"/>
      <c r="H189" s="29"/>
      <c r="I189" s="30"/>
      <c r="J189" s="31">
        <f t="shared" si="7"/>
        <v>0</v>
      </c>
      <c r="K189" s="32"/>
      <c r="L189" s="33"/>
    </row>
    <row r="190" spans="1:12" ht="24.95" customHeight="1" x14ac:dyDescent="0.15">
      <c r="A190" s="34"/>
      <c r="B190" s="35"/>
      <c r="C190" s="161"/>
      <c r="D190" s="163"/>
      <c r="E190" s="37"/>
      <c r="F190" s="27"/>
      <c r="G190" s="28"/>
      <c r="H190" s="29"/>
      <c r="I190" s="30"/>
      <c r="J190" s="31">
        <f t="shared" si="7"/>
        <v>0</v>
      </c>
      <c r="K190" s="32"/>
      <c r="L190" s="33"/>
    </row>
    <row r="191" spans="1:12" ht="24.95" customHeight="1" x14ac:dyDescent="0.15">
      <c r="A191" s="34"/>
      <c r="B191" s="35"/>
      <c r="C191" s="161"/>
      <c r="D191" s="163"/>
      <c r="E191" s="37"/>
      <c r="F191" s="27"/>
      <c r="G191" s="28"/>
      <c r="H191" s="29"/>
      <c r="I191" s="30"/>
      <c r="J191" s="31">
        <f t="shared" si="7"/>
        <v>0</v>
      </c>
      <c r="K191" s="32"/>
      <c r="L191" s="33"/>
    </row>
    <row r="192" spans="1:12" ht="24.95" customHeight="1" x14ac:dyDescent="0.15">
      <c r="A192" s="34"/>
      <c r="B192" s="35"/>
      <c r="C192" s="161"/>
      <c r="D192" s="163"/>
      <c r="E192" s="38"/>
      <c r="F192" s="27"/>
      <c r="G192" s="28"/>
      <c r="H192" s="29"/>
      <c r="I192" s="30"/>
      <c r="J192" s="31">
        <f t="shared" si="7"/>
        <v>0</v>
      </c>
      <c r="K192" s="32"/>
      <c r="L192" s="33"/>
    </row>
    <row r="193" spans="1:12" ht="24.95" customHeight="1" x14ac:dyDescent="0.15">
      <c r="A193" s="34"/>
      <c r="B193" s="35"/>
      <c r="C193" s="161"/>
      <c r="D193" s="163"/>
      <c r="E193" s="38"/>
      <c r="F193" s="27"/>
      <c r="G193" s="28"/>
      <c r="H193" s="29"/>
      <c r="I193" s="30"/>
      <c r="J193" s="31">
        <f t="shared" si="7"/>
        <v>0</v>
      </c>
      <c r="K193" s="32"/>
      <c r="L193" s="33"/>
    </row>
    <row r="194" spans="1:12" ht="24.95" customHeight="1" x14ac:dyDescent="0.15">
      <c r="A194" s="34"/>
      <c r="B194" s="35"/>
      <c r="C194" s="161"/>
      <c r="D194" s="163"/>
      <c r="E194" s="26"/>
      <c r="F194" s="27"/>
      <c r="G194" s="28"/>
      <c r="H194" s="29"/>
      <c r="I194" s="30"/>
      <c r="J194" s="31">
        <f t="shared" si="7"/>
        <v>0</v>
      </c>
      <c r="K194" s="32"/>
      <c r="L194" s="33"/>
    </row>
    <row r="195" spans="1:12" ht="24.95" customHeight="1" x14ac:dyDescent="0.15">
      <c r="A195" s="34"/>
      <c r="B195" s="35"/>
      <c r="C195" s="161"/>
      <c r="D195" s="163"/>
      <c r="E195" s="26"/>
      <c r="F195" s="27"/>
      <c r="G195" s="28"/>
      <c r="H195" s="29"/>
      <c r="I195" s="30"/>
      <c r="J195" s="31">
        <f t="shared" si="7"/>
        <v>0</v>
      </c>
      <c r="K195" s="32"/>
      <c r="L195" s="33"/>
    </row>
    <row r="196" spans="1:12" ht="24.95" customHeight="1" x14ac:dyDescent="0.15">
      <c r="A196" s="34"/>
      <c r="B196" s="35"/>
      <c r="C196" s="161"/>
      <c r="D196" s="163"/>
      <c r="E196" s="26"/>
      <c r="F196" s="27"/>
      <c r="G196" s="28"/>
      <c r="H196" s="29"/>
      <c r="I196" s="30"/>
      <c r="J196" s="31">
        <f t="shared" si="7"/>
        <v>0</v>
      </c>
      <c r="K196" s="32"/>
      <c r="L196" s="33"/>
    </row>
    <row r="197" spans="1:12" ht="24.95" customHeight="1" x14ac:dyDescent="0.15">
      <c r="A197" s="34"/>
      <c r="B197" s="35"/>
      <c r="C197" s="161"/>
      <c r="D197" s="163"/>
      <c r="E197" s="26"/>
      <c r="F197" s="27"/>
      <c r="G197" s="28"/>
      <c r="H197" s="29"/>
      <c r="I197" s="30"/>
      <c r="J197" s="31">
        <f t="shared" si="7"/>
        <v>0</v>
      </c>
      <c r="K197" s="32"/>
      <c r="L197" s="33"/>
    </row>
    <row r="198" spans="1:12" ht="24.95" customHeight="1" x14ac:dyDescent="0.15">
      <c r="A198" s="34"/>
      <c r="B198" s="35"/>
      <c r="C198" s="161"/>
      <c r="D198" s="163"/>
      <c r="E198" s="39"/>
      <c r="F198" s="27"/>
      <c r="G198" s="28"/>
      <c r="H198" s="29"/>
      <c r="I198" s="30"/>
      <c r="J198" s="31">
        <f t="shared" si="7"/>
        <v>0</v>
      </c>
      <c r="K198" s="32"/>
      <c r="L198" s="33"/>
    </row>
    <row r="199" spans="1:12" ht="24.95" customHeight="1" x14ac:dyDescent="0.15">
      <c r="A199" s="34"/>
      <c r="B199" s="35"/>
      <c r="C199" s="161"/>
      <c r="D199" s="163"/>
      <c r="E199" s="26"/>
      <c r="F199" s="27"/>
      <c r="G199" s="28"/>
      <c r="H199" s="29"/>
      <c r="I199" s="30"/>
      <c r="J199" s="31">
        <f t="shared" si="7"/>
        <v>0</v>
      </c>
      <c r="K199" s="32"/>
      <c r="L199" s="33"/>
    </row>
    <row r="200" spans="1:12" ht="24.95" customHeight="1" x14ac:dyDescent="0.15">
      <c r="A200" s="40"/>
      <c r="B200" s="41"/>
      <c r="C200" s="42" t="s">
        <v>23</v>
      </c>
      <c r="D200" s="43"/>
      <c r="E200" s="26"/>
      <c r="F200" s="41"/>
      <c r="G200" s="44"/>
      <c r="H200" s="45"/>
      <c r="I200" s="30"/>
      <c r="J200" s="31">
        <f>SUM(J177:K199)</f>
        <v>0</v>
      </c>
      <c r="K200" s="32"/>
      <c r="L200" s="33"/>
    </row>
    <row r="201" spans="1:12" ht="30" customHeight="1" thickBot="1" x14ac:dyDescent="0.2">
      <c r="A201" s="10" t="s">
        <v>21</v>
      </c>
      <c r="B201" s="10"/>
      <c r="C201" s="155">
        <f>表紙!C15</f>
        <v>0</v>
      </c>
      <c r="D201" s="155"/>
      <c r="E201" s="155"/>
      <c r="F201" s="11"/>
      <c r="G201" s="12" t="s">
        <v>22</v>
      </c>
      <c r="H201" s="12"/>
      <c r="I201" s="12"/>
      <c r="J201" s="12"/>
      <c r="K201" s="10" t="s">
        <v>89</v>
      </c>
      <c r="L201" s="10"/>
    </row>
    <row r="202" spans="1:12" ht="24.95" customHeight="1" thickTop="1" thickBot="1" x14ac:dyDescent="0.2">
      <c r="A202" s="13"/>
      <c r="B202" s="14" t="s">
        <v>10</v>
      </c>
      <c r="C202" s="15"/>
      <c r="D202" s="16" t="s">
        <v>11</v>
      </c>
      <c r="E202" s="17"/>
      <c r="F202" s="18" t="s">
        <v>12</v>
      </c>
      <c r="G202" s="19"/>
      <c r="H202" s="20" t="s">
        <v>13</v>
      </c>
      <c r="I202" s="20" t="s">
        <v>14</v>
      </c>
      <c r="J202" s="21" t="s">
        <v>15</v>
      </c>
      <c r="K202" s="22"/>
      <c r="L202" s="20" t="s">
        <v>16</v>
      </c>
    </row>
    <row r="203" spans="1:12" ht="24.95" customHeight="1" thickTop="1" x14ac:dyDescent="0.15">
      <c r="A203" s="23"/>
      <c r="B203" s="24"/>
      <c r="C203" s="25"/>
      <c r="D203" s="162"/>
      <c r="E203" s="26"/>
      <c r="F203" s="27"/>
      <c r="G203" s="28"/>
      <c r="H203" s="29"/>
      <c r="I203" s="30"/>
      <c r="J203" s="31">
        <f>SUM(G203*I203)</f>
        <v>0</v>
      </c>
      <c r="K203" s="32"/>
      <c r="L203" s="33"/>
    </row>
    <row r="204" spans="1:12" ht="24.95" customHeight="1" x14ac:dyDescent="0.15">
      <c r="A204" s="34"/>
      <c r="B204" s="35"/>
      <c r="C204" s="161"/>
      <c r="D204" s="163"/>
      <c r="E204" s="26"/>
      <c r="F204" s="27"/>
      <c r="G204" s="28"/>
      <c r="H204" s="29"/>
      <c r="I204" s="30"/>
      <c r="J204" s="31">
        <f>SUM(G204*I204)</f>
        <v>0</v>
      </c>
      <c r="K204" s="32"/>
      <c r="L204" s="33"/>
    </row>
    <row r="205" spans="1:12" ht="24.95" customHeight="1" x14ac:dyDescent="0.15">
      <c r="A205" s="34"/>
      <c r="B205" s="36"/>
      <c r="C205" s="161"/>
      <c r="D205" s="163"/>
      <c r="E205" s="26"/>
      <c r="F205" s="27"/>
      <c r="G205" s="28"/>
      <c r="H205" s="29"/>
      <c r="I205" s="30"/>
      <c r="J205" s="31">
        <f t="shared" ref="J205:J224" si="8">SUM(G205*I205)</f>
        <v>0</v>
      </c>
      <c r="K205" s="32"/>
      <c r="L205" s="33"/>
    </row>
    <row r="206" spans="1:12" ht="24.95" customHeight="1" x14ac:dyDescent="0.15">
      <c r="A206" s="34"/>
      <c r="B206" s="35"/>
      <c r="C206" s="161"/>
      <c r="D206" s="163"/>
      <c r="E206" s="26"/>
      <c r="F206" s="27"/>
      <c r="G206" s="28"/>
      <c r="H206" s="29"/>
      <c r="I206" s="30"/>
      <c r="J206" s="31">
        <f t="shared" si="8"/>
        <v>0</v>
      </c>
      <c r="K206" s="32"/>
      <c r="L206" s="33"/>
    </row>
    <row r="207" spans="1:12" ht="24.95" customHeight="1" x14ac:dyDescent="0.15">
      <c r="A207" s="34"/>
      <c r="B207" s="35"/>
      <c r="C207" s="161"/>
      <c r="D207" s="163"/>
      <c r="E207" s="26"/>
      <c r="F207" s="27"/>
      <c r="G207" s="28"/>
      <c r="H207" s="29"/>
      <c r="I207" s="30"/>
      <c r="J207" s="31">
        <f t="shared" si="8"/>
        <v>0</v>
      </c>
      <c r="K207" s="32"/>
      <c r="L207" s="33"/>
    </row>
    <row r="208" spans="1:12" ht="24.95" customHeight="1" x14ac:dyDescent="0.15">
      <c r="A208" s="34"/>
      <c r="B208" s="35"/>
      <c r="C208" s="161"/>
      <c r="D208" s="163"/>
      <c r="E208" s="37"/>
      <c r="F208" s="27"/>
      <c r="G208" s="28"/>
      <c r="H208" s="29"/>
      <c r="I208" s="30"/>
      <c r="J208" s="31">
        <f t="shared" si="8"/>
        <v>0</v>
      </c>
      <c r="K208" s="32"/>
      <c r="L208" s="33"/>
    </row>
    <row r="209" spans="1:12" ht="24.95" customHeight="1" x14ac:dyDescent="0.15">
      <c r="A209" s="34"/>
      <c r="B209" s="35"/>
      <c r="C209" s="161"/>
      <c r="D209" s="163"/>
      <c r="E209" s="37"/>
      <c r="F209" s="27"/>
      <c r="G209" s="28"/>
      <c r="H209" s="29"/>
      <c r="I209" s="30"/>
      <c r="J209" s="31">
        <f t="shared" si="8"/>
        <v>0</v>
      </c>
      <c r="K209" s="32"/>
      <c r="L209" s="33"/>
    </row>
    <row r="210" spans="1:12" ht="24.95" customHeight="1" x14ac:dyDescent="0.15">
      <c r="A210" s="34"/>
      <c r="B210" s="35"/>
      <c r="C210" s="161"/>
      <c r="D210" s="163"/>
      <c r="E210" s="26"/>
      <c r="F210" s="27"/>
      <c r="G210" s="28"/>
      <c r="H210" s="29"/>
      <c r="I210" s="30"/>
      <c r="J210" s="31">
        <f t="shared" si="8"/>
        <v>0</v>
      </c>
      <c r="K210" s="32"/>
      <c r="L210" s="33"/>
    </row>
    <row r="211" spans="1:12" ht="24.95" customHeight="1" x14ac:dyDescent="0.15">
      <c r="A211" s="34"/>
      <c r="B211" s="35"/>
      <c r="C211" s="161"/>
      <c r="D211" s="163"/>
      <c r="E211" s="26"/>
      <c r="F211" s="27"/>
      <c r="G211" s="28"/>
      <c r="H211" s="29"/>
      <c r="I211" s="30"/>
      <c r="J211" s="31">
        <f t="shared" si="8"/>
        <v>0</v>
      </c>
      <c r="K211" s="32"/>
      <c r="L211" s="33"/>
    </row>
    <row r="212" spans="1:12" ht="24.95" customHeight="1" x14ac:dyDescent="0.15">
      <c r="A212" s="34"/>
      <c r="B212" s="35"/>
      <c r="C212" s="161"/>
      <c r="D212" s="163"/>
      <c r="E212" s="26"/>
      <c r="F212" s="27"/>
      <c r="G212" s="28"/>
      <c r="H212" s="29"/>
      <c r="I212" s="30"/>
      <c r="J212" s="31">
        <f t="shared" si="8"/>
        <v>0</v>
      </c>
      <c r="K212" s="32"/>
      <c r="L212" s="33"/>
    </row>
    <row r="213" spans="1:12" ht="24.95" customHeight="1" x14ac:dyDescent="0.15">
      <c r="A213" s="34"/>
      <c r="B213" s="35"/>
      <c r="C213" s="161"/>
      <c r="D213" s="163"/>
      <c r="E213" s="26"/>
      <c r="F213" s="27"/>
      <c r="G213" s="28"/>
      <c r="H213" s="29"/>
      <c r="I213" s="30"/>
      <c r="J213" s="31">
        <f t="shared" si="8"/>
        <v>0</v>
      </c>
      <c r="K213" s="32"/>
      <c r="L213" s="33"/>
    </row>
    <row r="214" spans="1:12" ht="24.95" customHeight="1" x14ac:dyDescent="0.15">
      <c r="A214" s="34"/>
      <c r="B214" s="35"/>
      <c r="C214" s="161"/>
      <c r="D214" s="163"/>
      <c r="E214" s="26"/>
      <c r="F214" s="27"/>
      <c r="G214" s="28"/>
      <c r="H214" s="29"/>
      <c r="I214" s="30"/>
      <c r="J214" s="31">
        <f t="shared" si="8"/>
        <v>0</v>
      </c>
      <c r="K214" s="32"/>
      <c r="L214" s="33"/>
    </row>
    <row r="215" spans="1:12" ht="24.95" customHeight="1" x14ac:dyDescent="0.15">
      <c r="A215" s="34"/>
      <c r="B215" s="35"/>
      <c r="C215" s="161"/>
      <c r="D215" s="163"/>
      <c r="E215" s="37"/>
      <c r="F215" s="27"/>
      <c r="G215" s="28"/>
      <c r="H215" s="29"/>
      <c r="I215" s="30"/>
      <c r="J215" s="31">
        <f t="shared" si="8"/>
        <v>0</v>
      </c>
      <c r="K215" s="32"/>
      <c r="L215" s="33"/>
    </row>
    <row r="216" spans="1:12" ht="24.95" customHeight="1" x14ac:dyDescent="0.15">
      <c r="A216" s="34"/>
      <c r="B216" s="35"/>
      <c r="C216" s="161"/>
      <c r="D216" s="163"/>
      <c r="E216" s="37"/>
      <c r="F216" s="27"/>
      <c r="G216" s="28"/>
      <c r="H216" s="29"/>
      <c r="I216" s="30"/>
      <c r="J216" s="31">
        <f t="shared" si="8"/>
        <v>0</v>
      </c>
      <c r="K216" s="32"/>
      <c r="L216" s="33"/>
    </row>
    <row r="217" spans="1:12" ht="24.95" customHeight="1" x14ac:dyDescent="0.15">
      <c r="A217" s="34"/>
      <c r="B217" s="35"/>
      <c r="C217" s="161"/>
      <c r="D217" s="163"/>
      <c r="E217" s="38"/>
      <c r="F217" s="27"/>
      <c r="G217" s="28"/>
      <c r="H217" s="29"/>
      <c r="I217" s="30"/>
      <c r="J217" s="31">
        <f t="shared" si="8"/>
        <v>0</v>
      </c>
      <c r="K217" s="32"/>
      <c r="L217" s="33"/>
    </row>
    <row r="218" spans="1:12" ht="24.95" customHeight="1" x14ac:dyDescent="0.15">
      <c r="A218" s="34"/>
      <c r="B218" s="35"/>
      <c r="C218" s="161"/>
      <c r="D218" s="163"/>
      <c r="E218" s="38"/>
      <c r="F218" s="27"/>
      <c r="G218" s="28"/>
      <c r="H218" s="29"/>
      <c r="I218" s="30"/>
      <c r="J218" s="31">
        <f t="shared" si="8"/>
        <v>0</v>
      </c>
      <c r="K218" s="32"/>
      <c r="L218" s="33"/>
    </row>
    <row r="219" spans="1:12" ht="24.95" customHeight="1" x14ac:dyDescent="0.15">
      <c r="A219" s="34"/>
      <c r="B219" s="35"/>
      <c r="C219" s="161"/>
      <c r="D219" s="163"/>
      <c r="E219" s="26"/>
      <c r="F219" s="27"/>
      <c r="G219" s="28"/>
      <c r="H219" s="29"/>
      <c r="I219" s="30"/>
      <c r="J219" s="31">
        <f t="shared" si="8"/>
        <v>0</v>
      </c>
      <c r="K219" s="32"/>
      <c r="L219" s="33"/>
    </row>
    <row r="220" spans="1:12" ht="24.95" customHeight="1" x14ac:dyDescent="0.15">
      <c r="A220" s="34"/>
      <c r="B220" s="35"/>
      <c r="C220" s="161"/>
      <c r="D220" s="163"/>
      <c r="E220" s="26"/>
      <c r="F220" s="27"/>
      <c r="G220" s="28"/>
      <c r="H220" s="29"/>
      <c r="I220" s="30"/>
      <c r="J220" s="31">
        <f t="shared" si="8"/>
        <v>0</v>
      </c>
      <c r="K220" s="32"/>
      <c r="L220" s="33"/>
    </row>
    <row r="221" spans="1:12" ht="24.95" customHeight="1" x14ac:dyDescent="0.15">
      <c r="A221" s="34"/>
      <c r="B221" s="35"/>
      <c r="C221" s="161"/>
      <c r="D221" s="163"/>
      <c r="E221" s="26"/>
      <c r="F221" s="27"/>
      <c r="G221" s="28"/>
      <c r="H221" s="29"/>
      <c r="I221" s="30"/>
      <c r="J221" s="31">
        <f t="shared" si="8"/>
        <v>0</v>
      </c>
      <c r="K221" s="32"/>
      <c r="L221" s="33"/>
    </row>
    <row r="222" spans="1:12" ht="24.95" customHeight="1" x14ac:dyDescent="0.15">
      <c r="A222" s="34"/>
      <c r="B222" s="35"/>
      <c r="C222" s="161"/>
      <c r="D222" s="163"/>
      <c r="E222" s="26"/>
      <c r="F222" s="27"/>
      <c r="G222" s="28"/>
      <c r="H222" s="29"/>
      <c r="I222" s="30"/>
      <c r="J222" s="31">
        <f t="shared" si="8"/>
        <v>0</v>
      </c>
      <c r="K222" s="32"/>
      <c r="L222" s="33"/>
    </row>
    <row r="223" spans="1:12" ht="24.95" customHeight="1" x14ac:dyDescent="0.15">
      <c r="A223" s="34"/>
      <c r="B223" s="35"/>
      <c r="C223" s="161"/>
      <c r="D223" s="163"/>
      <c r="E223" s="39"/>
      <c r="F223" s="27"/>
      <c r="G223" s="28"/>
      <c r="H223" s="29"/>
      <c r="I223" s="30"/>
      <c r="J223" s="31">
        <f t="shared" si="8"/>
        <v>0</v>
      </c>
      <c r="K223" s="32"/>
      <c r="L223" s="33"/>
    </row>
    <row r="224" spans="1:12" ht="24.95" customHeight="1" x14ac:dyDescent="0.15">
      <c r="A224" s="34"/>
      <c r="B224" s="35"/>
      <c r="C224" s="161"/>
      <c r="D224" s="163"/>
      <c r="E224" s="26"/>
      <c r="F224" s="27"/>
      <c r="G224" s="28"/>
      <c r="H224" s="29"/>
      <c r="I224" s="30"/>
      <c r="J224" s="31">
        <f t="shared" si="8"/>
        <v>0</v>
      </c>
      <c r="K224" s="32"/>
      <c r="L224" s="33"/>
    </row>
    <row r="225" spans="1:12" ht="24.95" customHeight="1" x14ac:dyDescent="0.15">
      <c r="A225" s="40"/>
      <c r="B225" s="41"/>
      <c r="C225" s="42" t="s">
        <v>23</v>
      </c>
      <c r="D225" s="43"/>
      <c r="E225" s="26"/>
      <c r="F225" s="41"/>
      <c r="G225" s="44"/>
      <c r="H225" s="45"/>
      <c r="I225" s="30"/>
      <c r="J225" s="31">
        <f>SUM(J202:K224)</f>
        <v>0</v>
      </c>
      <c r="K225" s="32"/>
      <c r="L225" s="33"/>
    </row>
    <row r="226" spans="1:12" ht="24.75" customHeight="1" thickBot="1" x14ac:dyDescent="0.2">
      <c r="A226" s="10" t="s">
        <v>21</v>
      </c>
      <c r="B226" s="10"/>
      <c r="C226" s="155">
        <f>表紙!C15</f>
        <v>0</v>
      </c>
      <c r="D226" s="155"/>
      <c r="E226" s="155"/>
      <c r="F226" s="11"/>
      <c r="G226" s="12" t="s">
        <v>22</v>
      </c>
      <c r="H226" s="12"/>
      <c r="I226" s="12"/>
      <c r="J226" s="12"/>
      <c r="K226" s="10" t="s">
        <v>90</v>
      </c>
      <c r="L226" s="10"/>
    </row>
    <row r="227" spans="1:12" ht="24.75" customHeight="1" thickTop="1" thickBot="1" x14ac:dyDescent="0.2">
      <c r="A227" s="13"/>
      <c r="B227" s="14" t="s">
        <v>10</v>
      </c>
      <c r="C227" s="15"/>
      <c r="D227" s="16" t="s">
        <v>11</v>
      </c>
      <c r="E227" s="17"/>
      <c r="F227" s="18" t="s">
        <v>12</v>
      </c>
      <c r="G227" s="19"/>
      <c r="H227" s="20" t="s">
        <v>13</v>
      </c>
      <c r="I227" s="20" t="s">
        <v>14</v>
      </c>
      <c r="J227" s="21" t="s">
        <v>15</v>
      </c>
      <c r="K227" s="22"/>
      <c r="L227" s="20" t="s">
        <v>16</v>
      </c>
    </row>
    <row r="228" spans="1:12" ht="24.75" customHeight="1" thickTop="1" x14ac:dyDescent="0.15">
      <c r="A228" s="23"/>
      <c r="B228" s="24"/>
      <c r="C228" s="25"/>
      <c r="D228" s="162"/>
      <c r="E228" s="26"/>
      <c r="F228" s="27"/>
      <c r="G228" s="28"/>
      <c r="H228" s="29"/>
      <c r="I228" s="30"/>
      <c r="J228" s="31">
        <f>SUM(G228*I228)</f>
        <v>0</v>
      </c>
      <c r="K228" s="32"/>
      <c r="L228" s="33"/>
    </row>
    <row r="229" spans="1:12" ht="24.75" customHeight="1" x14ac:dyDescent="0.15">
      <c r="A229" s="34"/>
      <c r="B229" s="35"/>
      <c r="C229" s="161"/>
      <c r="D229" s="163"/>
      <c r="E229" s="26"/>
      <c r="F229" s="27"/>
      <c r="G229" s="28"/>
      <c r="H229" s="29"/>
      <c r="I229" s="30"/>
      <c r="J229" s="31">
        <f>SUM(G229*I229)</f>
        <v>0</v>
      </c>
      <c r="K229" s="32"/>
      <c r="L229" s="33"/>
    </row>
    <row r="230" spans="1:12" ht="24.75" customHeight="1" x14ac:dyDescent="0.15">
      <c r="A230" s="34"/>
      <c r="B230" s="36"/>
      <c r="C230" s="161"/>
      <c r="D230" s="163"/>
      <c r="E230" s="26"/>
      <c r="F230" s="27"/>
      <c r="G230" s="28"/>
      <c r="H230" s="29"/>
      <c r="I230" s="30"/>
      <c r="J230" s="31">
        <f t="shared" ref="J230:J249" si="9">SUM(G230*I230)</f>
        <v>0</v>
      </c>
      <c r="K230" s="32"/>
      <c r="L230" s="33"/>
    </row>
    <row r="231" spans="1:12" ht="24.75" customHeight="1" x14ac:dyDescent="0.15">
      <c r="A231" s="34"/>
      <c r="B231" s="35"/>
      <c r="C231" s="161"/>
      <c r="D231" s="163"/>
      <c r="E231" s="26"/>
      <c r="F231" s="27"/>
      <c r="G231" s="28"/>
      <c r="H231" s="29"/>
      <c r="I231" s="30"/>
      <c r="J231" s="31">
        <f t="shared" si="9"/>
        <v>0</v>
      </c>
      <c r="K231" s="32"/>
      <c r="L231" s="33"/>
    </row>
    <row r="232" spans="1:12" ht="24.75" customHeight="1" x14ac:dyDescent="0.15">
      <c r="A232" s="34"/>
      <c r="B232" s="35"/>
      <c r="C232" s="161"/>
      <c r="D232" s="163"/>
      <c r="E232" s="26"/>
      <c r="F232" s="27"/>
      <c r="G232" s="28"/>
      <c r="H232" s="29"/>
      <c r="I232" s="30"/>
      <c r="J232" s="31">
        <f t="shared" si="9"/>
        <v>0</v>
      </c>
      <c r="K232" s="32"/>
      <c r="L232" s="33"/>
    </row>
    <row r="233" spans="1:12" ht="24.75" customHeight="1" x14ac:dyDescent="0.15">
      <c r="A233" s="34"/>
      <c r="B233" s="35"/>
      <c r="C233" s="161"/>
      <c r="D233" s="163"/>
      <c r="E233" s="37"/>
      <c r="F233" s="27"/>
      <c r="G233" s="28"/>
      <c r="H233" s="29"/>
      <c r="I233" s="30"/>
      <c r="J233" s="31">
        <f t="shared" si="9"/>
        <v>0</v>
      </c>
      <c r="K233" s="32"/>
      <c r="L233" s="33"/>
    </row>
    <row r="234" spans="1:12" ht="24.75" customHeight="1" x14ac:dyDescent="0.15">
      <c r="A234" s="34"/>
      <c r="B234" s="35"/>
      <c r="C234" s="161"/>
      <c r="D234" s="163"/>
      <c r="E234" s="37"/>
      <c r="F234" s="27"/>
      <c r="G234" s="28"/>
      <c r="H234" s="29"/>
      <c r="I234" s="30"/>
      <c r="J234" s="31">
        <f t="shared" si="9"/>
        <v>0</v>
      </c>
      <c r="K234" s="32"/>
      <c r="L234" s="33"/>
    </row>
    <row r="235" spans="1:12" ht="24.75" customHeight="1" x14ac:dyDescent="0.15">
      <c r="A235" s="34"/>
      <c r="B235" s="35"/>
      <c r="C235" s="161"/>
      <c r="D235" s="163"/>
      <c r="E235" s="26"/>
      <c r="F235" s="27"/>
      <c r="G235" s="28"/>
      <c r="H235" s="29"/>
      <c r="I235" s="30"/>
      <c r="J235" s="31">
        <f t="shared" si="9"/>
        <v>0</v>
      </c>
      <c r="K235" s="32"/>
      <c r="L235" s="33"/>
    </row>
    <row r="236" spans="1:12" ht="24.75" customHeight="1" x14ac:dyDescent="0.15">
      <c r="A236" s="34"/>
      <c r="B236" s="35"/>
      <c r="C236" s="161"/>
      <c r="D236" s="163"/>
      <c r="E236" s="26"/>
      <c r="F236" s="27"/>
      <c r="G236" s="28"/>
      <c r="H236" s="29"/>
      <c r="I236" s="30"/>
      <c r="J236" s="31">
        <f t="shared" si="9"/>
        <v>0</v>
      </c>
      <c r="K236" s="32"/>
      <c r="L236" s="33"/>
    </row>
    <row r="237" spans="1:12" ht="24.75" customHeight="1" x14ac:dyDescent="0.15">
      <c r="A237" s="34"/>
      <c r="B237" s="35"/>
      <c r="C237" s="161"/>
      <c r="D237" s="163"/>
      <c r="E237" s="26"/>
      <c r="F237" s="27"/>
      <c r="G237" s="28"/>
      <c r="H237" s="29"/>
      <c r="I237" s="30"/>
      <c r="J237" s="31">
        <f t="shared" si="9"/>
        <v>0</v>
      </c>
      <c r="K237" s="32"/>
      <c r="L237" s="33"/>
    </row>
    <row r="238" spans="1:12" ht="24.75" customHeight="1" x14ac:dyDescent="0.15">
      <c r="A238" s="34"/>
      <c r="B238" s="35"/>
      <c r="C238" s="161"/>
      <c r="D238" s="163"/>
      <c r="E238" s="26"/>
      <c r="F238" s="27"/>
      <c r="G238" s="28"/>
      <c r="H238" s="29"/>
      <c r="I238" s="30"/>
      <c r="J238" s="31">
        <f t="shared" si="9"/>
        <v>0</v>
      </c>
      <c r="K238" s="32"/>
      <c r="L238" s="33"/>
    </row>
    <row r="239" spans="1:12" ht="24.75" customHeight="1" x14ac:dyDescent="0.15">
      <c r="A239" s="34"/>
      <c r="B239" s="35"/>
      <c r="C239" s="161"/>
      <c r="D239" s="163"/>
      <c r="E239" s="26"/>
      <c r="F239" s="27"/>
      <c r="G239" s="28"/>
      <c r="H239" s="29"/>
      <c r="I239" s="30"/>
      <c r="J239" s="31">
        <f t="shared" si="9"/>
        <v>0</v>
      </c>
      <c r="K239" s="32"/>
      <c r="L239" s="33"/>
    </row>
    <row r="240" spans="1:12" ht="24.75" customHeight="1" x14ac:dyDescent="0.15">
      <c r="A240" s="34"/>
      <c r="B240" s="35"/>
      <c r="C240" s="161"/>
      <c r="D240" s="163"/>
      <c r="E240" s="37"/>
      <c r="F240" s="27"/>
      <c r="G240" s="28"/>
      <c r="H240" s="29"/>
      <c r="I240" s="30"/>
      <c r="J240" s="31">
        <f t="shared" si="9"/>
        <v>0</v>
      </c>
      <c r="K240" s="32"/>
      <c r="L240" s="33"/>
    </row>
    <row r="241" spans="1:12" ht="24.75" customHeight="1" x14ac:dyDescent="0.15">
      <c r="A241" s="34"/>
      <c r="B241" s="35"/>
      <c r="C241" s="161"/>
      <c r="D241" s="163"/>
      <c r="E241" s="37"/>
      <c r="F241" s="27"/>
      <c r="G241" s="28"/>
      <c r="H241" s="29"/>
      <c r="I241" s="30"/>
      <c r="J241" s="31">
        <f t="shared" si="9"/>
        <v>0</v>
      </c>
      <c r="K241" s="32"/>
      <c r="L241" s="33"/>
    </row>
    <row r="242" spans="1:12" ht="24.75" customHeight="1" x14ac:dyDescent="0.15">
      <c r="A242" s="34"/>
      <c r="B242" s="35"/>
      <c r="C242" s="161"/>
      <c r="D242" s="163"/>
      <c r="E242" s="38"/>
      <c r="F242" s="27"/>
      <c r="G242" s="28"/>
      <c r="H242" s="29"/>
      <c r="I242" s="30"/>
      <c r="J242" s="31">
        <f t="shared" si="9"/>
        <v>0</v>
      </c>
      <c r="K242" s="32"/>
      <c r="L242" s="33"/>
    </row>
    <row r="243" spans="1:12" ht="24.75" customHeight="1" x14ac:dyDescent="0.15">
      <c r="A243" s="34"/>
      <c r="B243" s="35"/>
      <c r="C243" s="161"/>
      <c r="D243" s="163"/>
      <c r="E243" s="38"/>
      <c r="F243" s="27"/>
      <c r="G243" s="28"/>
      <c r="H243" s="29"/>
      <c r="I243" s="30"/>
      <c r="J243" s="31">
        <f t="shared" si="9"/>
        <v>0</v>
      </c>
      <c r="K243" s="32"/>
      <c r="L243" s="33"/>
    </row>
    <row r="244" spans="1:12" ht="24.75" customHeight="1" x14ac:dyDescent="0.15">
      <c r="A244" s="34"/>
      <c r="B244" s="35"/>
      <c r="C244" s="161"/>
      <c r="D244" s="163"/>
      <c r="E244" s="26"/>
      <c r="F244" s="27"/>
      <c r="G244" s="28"/>
      <c r="H244" s="29"/>
      <c r="I244" s="30"/>
      <c r="J244" s="31">
        <f t="shared" si="9"/>
        <v>0</v>
      </c>
      <c r="K244" s="32"/>
      <c r="L244" s="33"/>
    </row>
    <row r="245" spans="1:12" ht="24.75" customHeight="1" x14ac:dyDescent="0.15">
      <c r="A245" s="34"/>
      <c r="B245" s="35"/>
      <c r="C245" s="161"/>
      <c r="D245" s="163"/>
      <c r="E245" s="26"/>
      <c r="F245" s="27"/>
      <c r="G245" s="28"/>
      <c r="H245" s="29"/>
      <c r="I245" s="30"/>
      <c r="J245" s="31">
        <f t="shared" si="9"/>
        <v>0</v>
      </c>
      <c r="K245" s="32"/>
      <c r="L245" s="33"/>
    </row>
    <row r="246" spans="1:12" ht="24.75" customHeight="1" x14ac:dyDescent="0.15">
      <c r="A246" s="34"/>
      <c r="B246" s="35"/>
      <c r="C246" s="161"/>
      <c r="D246" s="163"/>
      <c r="E246" s="26"/>
      <c r="F246" s="27"/>
      <c r="G246" s="28"/>
      <c r="H246" s="29"/>
      <c r="I246" s="30"/>
      <c r="J246" s="31">
        <f t="shared" si="9"/>
        <v>0</v>
      </c>
      <c r="K246" s="32"/>
      <c r="L246" s="33"/>
    </row>
    <row r="247" spans="1:12" ht="24.75" customHeight="1" x14ac:dyDescent="0.15">
      <c r="A247" s="34"/>
      <c r="B247" s="35"/>
      <c r="C247" s="161"/>
      <c r="D247" s="163"/>
      <c r="E247" s="26"/>
      <c r="F247" s="27"/>
      <c r="G247" s="28"/>
      <c r="H247" s="29"/>
      <c r="I247" s="30"/>
      <c r="J247" s="31">
        <f t="shared" si="9"/>
        <v>0</v>
      </c>
      <c r="K247" s="32"/>
      <c r="L247" s="33"/>
    </row>
    <row r="248" spans="1:12" ht="24.75" customHeight="1" x14ac:dyDescent="0.15">
      <c r="A248" s="34"/>
      <c r="B248" s="35"/>
      <c r="C248" s="161"/>
      <c r="D248" s="163"/>
      <c r="E248" s="39"/>
      <c r="F248" s="27"/>
      <c r="G248" s="28"/>
      <c r="H248" s="29"/>
      <c r="I248" s="30"/>
      <c r="J248" s="31">
        <f t="shared" si="9"/>
        <v>0</v>
      </c>
      <c r="K248" s="32"/>
      <c r="L248" s="33"/>
    </row>
    <row r="249" spans="1:12" ht="24.75" customHeight="1" x14ac:dyDescent="0.15">
      <c r="A249" s="34"/>
      <c r="B249" s="35"/>
      <c r="C249" s="161"/>
      <c r="D249" s="163"/>
      <c r="E249" s="26"/>
      <c r="F249" s="27"/>
      <c r="G249" s="28"/>
      <c r="H249" s="29"/>
      <c r="I249" s="30"/>
      <c r="J249" s="31">
        <f t="shared" si="9"/>
        <v>0</v>
      </c>
      <c r="K249" s="32"/>
      <c r="L249" s="33"/>
    </row>
    <row r="250" spans="1:12" ht="24.75" customHeight="1" x14ac:dyDescent="0.15">
      <c r="A250" s="40"/>
      <c r="B250" s="41"/>
      <c r="C250" s="42" t="s">
        <v>23</v>
      </c>
      <c r="D250" s="43"/>
      <c r="E250" s="26"/>
      <c r="F250" s="41"/>
      <c r="G250" s="44"/>
      <c r="H250" s="45"/>
      <c r="I250" s="30"/>
      <c r="J250" s="31">
        <f>SUM(J227:K249)</f>
        <v>0</v>
      </c>
      <c r="K250" s="32"/>
      <c r="L250" s="33"/>
    </row>
    <row r="251" spans="1:12" ht="24.75" customHeight="1" x14ac:dyDescent="0.15">
      <c r="B251"/>
      <c r="H251"/>
    </row>
    <row r="252" spans="1:12" ht="24.75" customHeight="1" x14ac:dyDescent="0.15">
      <c r="B252"/>
      <c r="H252"/>
    </row>
    <row r="253" spans="1:12" ht="24.75" customHeight="1" x14ac:dyDescent="0.15">
      <c r="B253"/>
      <c r="H253"/>
    </row>
    <row r="254" spans="1:12" ht="24.75" customHeight="1" x14ac:dyDescent="0.15">
      <c r="B254"/>
      <c r="H254"/>
    </row>
    <row r="255" spans="1:12" ht="24.75" customHeight="1" x14ac:dyDescent="0.15">
      <c r="B255"/>
      <c r="H255"/>
    </row>
    <row r="256" spans="1:12" ht="24.75" customHeight="1" x14ac:dyDescent="0.15">
      <c r="B256"/>
      <c r="H256"/>
    </row>
    <row r="257" spans="2:8" ht="24.75" customHeight="1" x14ac:dyDescent="0.15">
      <c r="B257"/>
      <c r="H257"/>
    </row>
    <row r="258" spans="2:8" ht="24.75" customHeight="1" x14ac:dyDescent="0.15">
      <c r="B258"/>
      <c r="H258"/>
    </row>
    <row r="259" spans="2:8" ht="24.75" customHeight="1" x14ac:dyDescent="0.15">
      <c r="B259"/>
      <c r="H259"/>
    </row>
    <row r="260" spans="2:8" ht="24.75" customHeight="1" x14ac:dyDescent="0.15">
      <c r="B260"/>
      <c r="H260"/>
    </row>
    <row r="261" spans="2:8" ht="24.75" customHeight="1" x14ac:dyDescent="0.15">
      <c r="B261"/>
      <c r="H261"/>
    </row>
    <row r="262" spans="2:8" ht="24.75" customHeight="1" x14ac:dyDescent="0.15">
      <c r="B262"/>
      <c r="H262"/>
    </row>
    <row r="263" spans="2:8" ht="24.75" customHeight="1" x14ac:dyDescent="0.15">
      <c r="B263"/>
      <c r="H263"/>
    </row>
    <row r="264" spans="2:8" ht="24.75" customHeight="1" x14ac:dyDescent="0.15">
      <c r="B264"/>
      <c r="H264"/>
    </row>
    <row r="265" spans="2:8" ht="24.75" customHeight="1" x14ac:dyDescent="0.15">
      <c r="B265"/>
      <c r="H265"/>
    </row>
    <row r="266" spans="2:8" ht="24.75" customHeight="1" x14ac:dyDescent="0.15">
      <c r="B266"/>
      <c r="H266"/>
    </row>
    <row r="267" spans="2:8" ht="24.75" customHeight="1" x14ac:dyDescent="0.15">
      <c r="B267"/>
      <c r="H267"/>
    </row>
    <row r="268" spans="2:8" ht="24.75" customHeight="1" x14ac:dyDescent="0.15">
      <c r="B268"/>
      <c r="H268"/>
    </row>
    <row r="269" spans="2:8" ht="24.75" customHeight="1" x14ac:dyDescent="0.15">
      <c r="B269"/>
      <c r="H269"/>
    </row>
    <row r="270" spans="2:8" ht="24.75" customHeight="1" x14ac:dyDescent="0.15">
      <c r="B270"/>
      <c r="H270"/>
    </row>
    <row r="271" spans="2:8" ht="24.75" customHeight="1" x14ac:dyDescent="0.15">
      <c r="B271"/>
      <c r="H271"/>
    </row>
    <row r="272" spans="2:8" ht="24.75" customHeight="1" x14ac:dyDescent="0.15">
      <c r="B272"/>
      <c r="H272"/>
    </row>
    <row r="273" spans="2:8" ht="24.75" customHeight="1" x14ac:dyDescent="0.15">
      <c r="B273"/>
      <c r="H273"/>
    </row>
    <row r="274" spans="2:8" ht="24.75" customHeight="1" x14ac:dyDescent="0.15">
      <c r="B274"/>
      <c r="H274"/>
    </row>
    <row r="275" spans="2:8" ht="12" customHeight="1" x14ac:dyDescent="0.15">
      <c r="B275"/>
      <c r="H275"/>
    </row>
    <row r="276" spans="2:8" ht="24.75" customHeight="1" x14ac:dyDescent="0.15">
      <c r="B276"/>
      <c r="H276"/>
    </row>
    <row r="277" spans="2:8" ht="24.75" customHeight="1" x14ac:dyDescent="0.15">
      <c r="B277"/>
      <c r="H277"/>
    </row>
    <row r="278" spans="2:8" ht="24.75" customHeight="1" x14ac:dyDescent="0.15">
      <c r="B278"/>
      <c r="H278"/>
    </row>
    <row r="279" spans="2:8" ht="24.75" customHeight="1" x14ac:dyDescent="0.15">
      <c r="B279"/>
      <c r="H279"/>
    </row>
    <row r="280" spans="2:8" ht="24.75" customHeight="1" x14ac:dyDescent="0.15">
      <c r="B280"/>
      <c r="H280"/>
    </row>
    <row r="281" spans="2:8" ht="24.75" customHeight="1" x14ac:dyDescent="0.15">
      <c r="B281"/>
      <c r="H281"/>
    </row>
    <row r="282" spans="2:8" ht="24.75" customHeight="1" x14ac:dyDescent="0.15">
      <c r="B282"/>
      <c r="H282"/>
    </row>
    <row r="283" spans="2:8" ht="24.75" customHeight="1" x14ac:dyDescent="0.15">
      <c r="B283"/>
      <c r="H283"/>
    </row>
    <row r="284" spans="2:8" ht="24.75" customHeight="1" x14ac:dyDescent="0.15">
      <c r="B284"/>
      <c r="H284"/>
    </row>
    <row r="285" spans="2:8" ht="24.75" customHeight="1" x14ac:dyDescent="0.15">
      <c r="B285"/>
      <c r="H285"/>
    </row>
    <row r="286" spans="2:8" ht="24.75" customHeight="1" x14ac:dyDescent="0.15">
      <c r="B286"/>
      <c r="H286"/>
    </row>
    <row r="287" spans="2:8" ht="24.75" customHeight="1" x14ac:dyDescent="0.15">
      <c r="B287"/>
      <c r="H287"/>
    </row>
    <row r="288" spans="2:8" ht="24.75" customHeight="1" x14ac:dyDescent="0.15">
      <c r="B288"/>
      <c r="H288"/>
    </row>
    <row r="289" spans="2:8" ht="24.75" customHeight="1" x14ac:dyDescent="0.15">
      <c r="B289"/>
      <c r="H289"/>
    </row>
    <row r="290" spans="2:8" ht="24.75" customHeight="1" x14ac:dyDescent="0.15">
      <c r="B290"/>
      <c r="H290"/>
    </row>
    <row r="291" spans="2:8" ht="24.75" customHeight="1" x14ac:dyDescent="0.15">
      <c r="B291"/>
      <c r="H291"/>
    </row>
    <row r="292" spans="2:8" ht="24.75" customHeight="1" x14ac:dyDescent="0.15">
      <c r="B292"/>
      <c r="H292"/>
    </row>
    <row r="293" spans="2:8" ht="24.75" customHeight="1" x14ac:dyDescent="0.15">
      <c r="B293"/>
      <c r="H293"/>
    </row>
    <row r="294" spans="2:8" ht="24.75" customHeight="1" x14ac:dyDescent="0.15">
      <c r="B294"/>
      <c r="H294"/>
    </row>
    <row r="295" spans="2:8" ht="24.75" customHeight="1" x14ac:dyDescent="0.15">
      <c r="B295"/>
      <c r="H295"/>
    </row>
    <row r="296" spans="2:8" ht="24.75" customHeight="1" x14ac:dyDescent="0.15">
      <c r="B296"/>
      <c r="H296"/>
    </row>
    <row r="297" spans="2:8" ht="24.75" customHeight="1" x14ac:dyDescent="0.15">
      <c r="B297"/>
      <c r="H297"/>
    </row>
    <row r="298" spans="2:8" ht="24.75" customHeight="1" x14ac:dyDescent="0.15">
      <c r="B298"/>
      <c r="H298"/>
    </row>
    <row r="299" spans="2:8" ht="24.75" customHeight="1" x14ac:dyDescent="0.15">
      <c r="B299"/>
      <c r="H299"/>
    </row>
    <row r="300" spans="2:8" ht="12" customHeight="1" x14ac:dyDescent="0.15">
      <c r="B300"/>
      <c r="H300"/>
    </row>
    <row r="301" spans="2:8" ht="24.75" customHeight="1" x14ac:dyDescent="0.15">
      <c r="B301"/>
      <c r="H301"/>
    </row>
    <row r="302" spans="2:8" ht="24.75" customHeight="1" x14ac:dyDescent="0.15">
      <c r="B302"/>
      <c r="H302"/>
    </row>
    <row r="303" spans="2:8" ht="24.75" customHeight="1" x14ac:dyDescent="0.15">
      <c r="B303"/>
      <c r="H303"/>
    </row>
    <row r="304" spans="2:8" ht="24.75" customHeight="1" x14ac:dyDescent="0.15">
      <c r="B304"/>
      <c r="H304"/>
    </row>
    <row r="305" spans="2:8" ht="24.75" customHeight="1" x14ac:dyDescent="0.15">
      <c r="B305"/>
      <c r="H305"/>
    </row>
    <row r="306" spans="2:8" ht="24.75" customHeight="1" x14ac:dyDescent="0.15">
      <c r="B306"/>
      <c r="H306"/>
    </row>
    <row r="307" spans="2:8" ht="24.75" customHeight="1" x14ac:dyDescent="0.15">
      <c r="B307"/>
      <c r="H307"/>
    </row>
    <row r="308" spans="2:8" ht="24.75" customHeight="1" x14ac:dyDescent="0.15">
      <c r="B308"/>
      <c r="H308"/>
    </row>
    <row r="309" spans="2:8" ht="24.75" customHeight="1" x14ac:dyDescent="0.15">
      <c r="B309"/>
      <c r="H309"/>
    </row>
    <row r="310" spans="2:8" ht="24.75" customHeight="1" x14ac:dyDescent="0.15">
      <c r="B310"/>
      <c r="H310"/>
    </row>
    <row r="311" spans="2:8" ht="24.75" customHeight="1" x14ac:dyDescent="0.15">
      <c r="B311"/>
      <c r="H311"/>
    </row>
    <row r="312" spans="2:8" ht="24.75" customHeight="1" x14ac:dyDescent="0.15">
      <c r="B312"/>
      <c r="H312"/>
    </row>
    <row r="313" spans="2:8" ht="24.75" customHeight="1" x14ac:dyDescent="0.15">
      <c r="B313"/>
      <c r="H313"/>
    </row>
    <row r="314" spans="2:8" ht="24.75" customHeight="1" x14ac:dyDescent="0.15">
      <c r="B314"/>
      <c r="H314"/>
    </row>
    <row r="315" spans="2:8" ht="24.75" customHeight="1" x14ac:dyDescent="0.15">
      <c r="B315"/>
      <c r="H315"/>
    </row>
    <row r="316" spans="2:8" ht="24.75" customHeight="1" x14ac:dyDescent="0.15">
      <c r="B316"/>
      <c r="H316"/>
    </row>
    <row r="317" spans="2:8" ht="24.75" customHeight="1" x14ac:dyDescent="0.15">
      <c r="B317"/>
      <c r="H317"/>
    </row>
    <row r="318" spans="2:8" ht="24.75" customHeight="1" x14ac:dyDescent="0.15">
      <c r="B318"/>
      <c r="H318"/>
    </row>
    <row r="319" spans="2:8" ht="24.75" customHeight="1" x14ac:dyDescent="0.15">
      <c r="B319"/>
      <c r="H319"/>
    </row>
    <row r="320" spans="2:8" ht="24.75" customHeight="1" x14ac:dyDescent="0.15">
      <c r="B320"/>
      <c r="H320"/>
    </row>
    <row r="321" spans="2:8" ht="24.75" customHeight="1" x14ac:dyDescent="0.15">
      <c r="B321"/>
      <c r="H321"/>
    </row>
    <row r="322" spans="2:8" ht="24.75" customHeight="1" x14ac:dyDescent="0.15">
      <c r="B322"/>
      <c r="H322"/>
    </row>
    <row r="323" spans="2:8" ht="24.75" customHeight="1" x14ac:dyDescent="0.15">
      <c r="B323"/>
      <c r="H323"/>
    </row>
    <row r="324" spans="2:8" ht="24.75" customHeight="1" x14ac:dyDescent="0.15">
      <c r="B324"/>
      <c r="H324"/>
    </row>
    <row r="325" spans="2:8" ht="12" customHeight="1" x14ac:dyDescent="0.15">
      <c r="B325"/>
      <c r="H325"/>
    </row>
    <row r="326" spans="2:8" ht="24.75" customHeight="1" x14ac:dyDescent="0.15">
      <c r="B326"/>
      <c r="H326"/>
    </row>
    <row r="327" spans="2:8" ht="24.75" customHeight="1" x14ac:dyDescent="0.15">
      <c r="B327"/>
      <c r="H327"/>
    </row>
    <row r="328" spans="2:8" ht="24.75" customHeight="1" x14ac:dyDescent="0.15">
      <c r="B328"/>
      <c r="H328"/>
    </row>
    <row r="329" spans="2:8" ht="24.75" customHeight="1" x14ac:dyDescent="0.15">
      <c r="B329"/>
      <c r="H329"/>
    </row>
    <row r="330" spans="2:8" ht="24.75" customHeight="1" x14ac:dyDescent="0.15">
      <c r="B330"/>
      <c r="H330"/>
    </row>
    <row r="331" spans="2:8" ht="24.75" customHeight="1" x14ac:dyDescent="0.15">
      <c r="B331"/>
      <c r="H331"/>
    </row>
    <row r="332" spans="2:8" ht="24.75" customHeight="1" x14ac:dyDescent="0.15">
      <c r="B332"/>
      <c r="H332"/>
    </row>
    <row r="333" spans="2:8" ht="24.75" customHeight="1" x14ac:dyDescent="0.15">
      <c r="B333"/>
      <c r="H333"/>
    </row>
    <row r="334" spans="2:8" ht="24.75" customHeight="1" x14ac:dyDescent="0.15">
      <c r="B334"/>
      <c r="H334"/>
    </row>
    <row r="335" spans="2:8" ht="24.75" customHeight="1" x14ac:dyDescent="0.15">
      <c r="B335"/>
      <c r="H335"/>
    </row>
    <row r="336" spans="2:8" ht="24.75" customHeight="1" x14ac:dyDescent="0.15">
      <c r="B336"/>
      <c r="H336"/>
    </row>
    <row r="337" spans="2:8" ht="24.75" customHeight="1" x14ac:dyDescent="0.15">
      <c r="B337"/>
      <c r="H337"/>
    </row>
    <row r="338" spans="2:8" ht="24.75" customHeight="1" x14ac:dyDescent="0.15">
      <c r="B338"/>
      <c r="H338"/>
    </row>
    <row r="339" spans="2:8" ht="24.75" customHeight="1" x14ac:dyDescent="0.15">
      <c r="B339"/>
      <c r="H339"/>
    </row>
    <row r="340" spans="2:8" ht="24.75" customHeight="1" x14ac:dyDescent="0.15">
      <c r="B340"/>
      <c r="H340"/>
    </row>
    <row r="341" spans="2:8" ht="24.75" customHeight="1" x14ac:dyDescent="0.15">
      <c r="B341"/>
      <c r="H341"/>
    </row>
    <row r="342" spans="2:8" ht="24.75" customHeight="1" x14ac:dyDescent="0.15">
      <c r="B342"/>
      <c r="H342"/>
    </row>
    <row r="343" spans="2:8" ht="24.75" customHeight="1" x14ac:dyDescent="0.15">
      <c r="B343"/>
      <c r="H343"/>
    </row>
    <row r="344" spans="2:8" ht="24.75" customHeight="1" x14ac:dyDescent="0.15">
      <c r="B344"/>
      <c r="H344"/>
    </row>
    <row r="345" spans="2:8" ht="24.75" customHeight="1" x14ac:dyDescent="0.15">
      <c r="B345"/>
      <c r="H345"/>
    </row>
    <row r="346" spans="2:8" ht="24.75" customHeight="1" x14ac:dyDescent="0.15">
      <c r="B346"/>
      <c r="H346"/>
    </row>
    <row r="347" spans="2:8" ht="24.75" customHeight="1" x14ac:dyDescent="0.15">
      <c r="B347"/>
      <c r="H347"/>
    </row>
    <row r="348" spans="2:8" ht="24.75" customHeight="1" x14ac:dyDescent="0.15">
      <c r="B348"/>
      <c r="H348"/>
    </row>
    <row r="349" spans="2:8" ht="24.75" customHeight="1" x14ac:dyDescent="0.15">
      <c r="B349"/>
      <c r="H349"/>
    </row>
    <row r="350" spans="2:8" ht="12" customHeight="1" x14ac:dyDescent="0.15">
      <c r="B350"/>
      <c r="H350"/>
    </row>
    <row r="351" spans="2:8" ht="24.75" customHeight="1" x14ac:dyDescent="0.15">
      <c r="B351"/>
      <c r="H351"/>
    </row>
    <row r="352" spans="2:8" ht="24.75" customHeight="1" x14ac:dyDescent="0.15">
      <c r="B352"/>
      <c r="H352"/>
    </row>
    <row r="353" spans="2:8" ht="24.75" customHeight="1" x14ac:dyDescent="0.15">
      <c r="B353"/>
      <c r="H353"/>
    </row>
    <row r="354" spans="2:8" ht="24.75" customHeight="1" x14ac:dyDescent="0.15">
      <c r="B354"/>
      <c r="H354"/>
    </row>
    <row r="355" spans="2:8" ht="24.75" customHeight="1" x14ac:dyDescent="0.15">
      <c r="B355"/>
      <c r="H355"/>
    </row>
    <row r="356" spans="2:8" ht="24.75" customHeight="1" x14ac:dyDescent="0.15">
      <c r="B356"/>
      <c r="H356"/>
    </row>
    <row r="357" spans="2:8" ht="24.75" customHeight="1" x14ac:dyDescent="0.15">
      <c r="B357"/>
      <c r="H357"/>
    </row>
    <row r="358" spans="2:8" ht="24.75" customHeight="1" x14ac:dyDescent="0.15">
      <c r="B358"/>
      <c r="H358"/>
    </row>
    <row r="359" spans="2:8" ht="24.75" customHeight="1" x14ac:dyDescent="0.15">
      <c r="B359"/>
      <c r="H359"/>
    </row>
    <row r="360" spans="2:8" ht="24.75" customHeight="1" x14ac:dyDescent="0.15">
      <c r="B360"/>
      <c r="H360"/>
    </row>
    <row r="361" spans="2:8" ht="24.75" customHeight="1" x14ac:dyDescent="0.15">
      <c r="B361"/>
      <c r="H361"/>
    </row>
    <row r="362" spans="2:8" ht="24.75" customHeight="1" x14ac:dyDescent="0.15">
      <c r="B362"/>
      <c r="H362"/>
    </row>
    <row r="363" spans="2:8" ht="24.75" customHeight="1" x14ac:dyDescent="0.15">
      <c r="B363"/>
      <c r="H363"/>
    </row>
    <row r="364" spans="2:8" ht="24.75" customHeight="1" x14ac:dyDescent="0.15">
      <c r="B364"/>
      <c r="H364"/>
    </row>
    <row r="365" spans="2:8" ht="24.75" customHeight="1" x14ac:dyDescent="0.15">
      <c r="B365"/>
      <c r="H365"/>
    </row>
    <row r="366" spans="2:8" ht="24.75" customHeight="1" x14ac:dyDescent="0.15">
      <c r="B366"/>
      <c r="H366"/>
    </row>
    <row r="367" spans="2:8" ht="24.75" customHeight="1" x14ac:dyDescent="0.15">
      <c r="B367"/>
      <c r="H367"/>
    </row>
    <row r="368" spans="2:8" ht="24.75" customHeight="1" x14ac:dyDescent="0.15">
      <c r="B368"/>
      <c r="H368"/>
    </row>
    <row r="369" spans="2:8" ht="24.75" customHeight="1" x14ac:dyDescent="0.15">
      <c r="B369"/>
      <c r="H369"/>
    </row>
    <row r="370" spans="2:8" ht="24.75" customHeight="1" x14ac:dyDescent="0.15">
      <c r="B370"/>
      <c r="H370"/>
    </row>
    <row r="371" spans="2:8" ht="24.75" customHeight="1" x14ac:dyDescent="0.15">
      <c r="B371"/>
      <c r="H371"/>
    </row>
    <row r="372" spans="2:8" ht="24.75" customHeight="1" x14ac:dyDescent="0.15">
      <c r="B372"/>
      <c r="H372"/>
    </row>
    <row r="373" spans="2:8" ht="24.75" customHeight="1" x14ac:dyDescent="0.15">
      <c r="B373"/>
      <c r="H373"/>
    </row>
    <row r="374" spans="2:8" ht="24.75" customHeight="1" x14ac:dyDescent="0.15">
      <c r="B374"/>
      <c r="H374"/>
    </row>
    <row r="375" spans="2:8" ht="12" customHeight="1" x14ac:dyDescent="0.15">
      <c r="B375"/>
      <c r="H375"/>
    </row>
    <row r="376" spans="2:8" ht="24.75" customHeight="1" x14ac:dyDescent="0.15">
      <c r="B376"/>
      <c r="H376"/>
    </row>
    <row r="377" spans="2:8" ht="24.75" customHeight="1" x14ac:dyDescent="0.15">
      <c r="B377"/>
      <c r="H377"/>
    </row>
    <row r="378" spans="2:8" ht="24.75" customHeight="1" x14ac:dyDescent="0.15">
      <c r="B378"/>
      <c r="H378"/>
    </row>
    <row r="379" spans="2:8" ht="24.75" customHeight="1" x14ac:dyDescent="0.15">
      <c r="B379"/>
      <c r="H379"/>
    </row>
    <row r="380" spans="2:8" ht="24.75" customHeight="1" x14ac:dyDescent="0.15">
      <c r="B380"/>
      <c r="H380"/>
    </row>
    <row r="381" spans="2:8" ht="24.75" customHeight="1" x14ac:dyDescent="0.15">
      <c r="B381"/>
      <c r="H381"/>
    </row>
    <row r="382" spans="2:8" ht="24.75" customHeight="1" x14ac:dyDescent="0.15">
      <c r="B382"/>
      <c r="H382"/>
    </row>
    <row r="383" spans="2:8" ht="24.75" customHeight="1" x14ac:dyDescent="0.15">
      <c r="B383"/>
      <c r="H383"/>
    </row>
    <row r="384" spans="2:8" ht="24.75" customHeight="1" x14ac:dyDescent="0.15">
      <c r="B384"/>
      <c r="H384"/>
    </row>
    <row r="385" spans="2:8" ht="24.75" customHeight="1" x14ac:dyDescent="0.15">
      <c r="B385"/>
      <c r="H385"/>
    </row>
    <row r="386" spans="2:8" ht="24.75" customHeight="1" x14ac:dyDescent="0.15">
      <c r="B386"/>
      <c r="H386"/>
    </row>
    <row r="387" spans="2:8" ht="24.75" customHeight="1" x14ac:dyDescent="0.15">
      <c r="B387"/>
      <c r="H387"/>
    </row>
    <row r="388" spans="2:8" ht="24.75" customHeight="1" x14ac:dyDescent="0.15">
      <c r="B388"/>
      <c r="H388"/>
    </row>
    <row r="389" spans="2:8" ht="24.75" customHeight="1" x14ac:dyDescent="0.15">
      <c r="B389"/>
      <c r="H389"/>
    </row>
    <row r="390" spans="2:8" ht="24.75" customHeight="1" x14ac:dyDescent="0.15">
      <c r="B390"/>
      <c r="H390"/>
    </row>
    <row r="391" spans="2:8" ht="24.75" customHeight="1" x14ac:dyDescent="0.15">
      <c r="B391"/>
      <c r="H391"/>
    </row>
    <row r="392" spans="2:8" ht="24.75" customHeight="1" x14ac:dyDescent="0.15">
      <c r="B392"/>
      <c r="H392"/>
    </row>
    <row r="393" spans="2:8" ht="24.75" customHeight="1" x14ac:dyDescent="0.15">
      <c r="B393"/>
      <c r="H393"/>
    </row>
    <row r="394" spans="2:8" ht="24.75" customHeight="1" x14ac:dyDescent="0.15">
      <c r="B394"/>
      <c r="H394"/>
    </row>
    <row r="395" spans="2:8" ht="24.75" customHeight="1" x14ac:dyDescent="0.15">
      <c r="B395"/>
      <c r="H395"/>
    </row>
    <row r="396" spans="2:8" ht="24.75" customHeight="1" x14ac:dyDescent="0.15">
      <c r="B396"/>
      <c r="H396"/>
    </row>
    <row r="397" spans="2:8" ht="24.75" customHeight="1" x14ac:dyDescent="0.15">
      <c r="B397"/>
      <c r="H397"/>
    </row>
    <row r="398" spans="2:8" ht="24.75" customHeight="1" x14ac:dyDescent="0.15">
      <c r="B398"/>
      <c r="H398"/>
    </row>
    <row r="399" spans="2:8" ht="24.75" customHeight="1" x14ac:dyDescent="0.15">
      <c r="B399"/>
      <c r="H399"/>
    </row>
    <row r="400" spans="2:8" ht="12" customHeight="1" x14ac:dyDescent="0.15">
      <c r="B400"/>
      <c r="H400"/>
    </row>
    <row r="401" spans="2:8" ht="24.75" customHeight="1" x14ac:dyDescent="0.15">
      <c r="B401"/>
      <c r="H401"/>
    </row>
    <row r="402" spans="2:8" ht="24.75" customHeight="1" x14ac:dyDescent="0.15">
      <c r="B402"/>
      <c r="H402"/>
    </row>
    <row r="403" spans="2:8" ht="24.75" customHeight="1" x14ac:dyDescent="0.15">
      <c r="B403"/>
      <c r="H403"/>
    </row>
    <row r="404" spans="2:8" ht="24.75" customHeight="1" x14ac:dyDescent="0.15">
      <c r="B404"/>
      <c r="H404"/>
    </row>
    <row r="405" spans="2:8" ht="24.75" customHeight="1" x14ac:dyDescent="0.15">
      <c r="B405"/>
      <c r="H405"/>
    </row>
    <row r="406" spans="2:8" ht="24.75" customHeight="1" x14ac:dyDescent="0.15">
      <c r="B406"/>
      <c r="H406"/>
    </row>
    <row r="407" spans="2:8" ht="24.75" customHeight="1" x14ac:dyDescent="0.15">
      <c r="B407"/>
      <c r="H407"/>
    </row>
    <row r="408" spans="2:8" ht="24.75" customHeight="1" x14ac:dyDescent="0.15">
      <c r="B408"/>
      <c r="H408"/>
    </row>
    <row r="409" spans="2:8" ht="24.75" customHeight="1" x14ac:dyDescent="0.15">
      <c r="B409"/>
      <c r="H409"/>
    </row>
    <row r="410" spans="2:8" ht="24.75" customHeight="1" x14ac:dyDescent="0.15">
      <c r="B410"/>
      <c r="H410"/>
    </row>
    <row r="411" spans="2:8" ht="24.75" customHeight="1" x14ac:dyDescent="0.15">
      <c r="B411"/>
      <c r="H411"/>
    </row>
    <row r="412" spans="2:8" ht="24.75" customHeight="1" x14ac:dyDescent="0.15">
      <c r="B412"/>
      <c r="H412"/>
    </row>
    <row r="413" spans="2:8" ht="24.75" customHeight="1" x14ac:dyDescent="0.15">
      <c r="B413"/>
      <c r="H413"/>
    </row>
    <row r="414" spans="2:8" ht="24.75" customHeight="1" x14ac:dyDescent="0.15">
      <c r="B414"/>
      <c r="H414"/>
    </row>
    <row r="415" spans="2:8" ht="24.75" customHeight="1" x14ac:dyDescent="0.15">
      <c r="B415"/>
      <c r="H415"/>
    </row>
    <row r="416" spans="2:8" ht="24.75" customHeight="1" x14ac:dyDescent="0.15">
      <c r="B416"/>
      <c r="H416"/>
    </row>
    <row r="417" spans="2:8" ht="24.75" customHeight="1" x14ac:dyDescent="0.15">
      <c r="B417"/>
      <c r="H417"/>
    </row>
    <row r="418" spans="2:8" ht="24.75" customHeight="1" x14ac:dyDescent="0.15">
      <c r="B418"/>
      <c r="H418"/>
    </row>
    <row r="419" spans="2:8" ht="24.75" customHeight="1" x14ac:dyDescent="0.15">
      <c r="B419"/>
      <c r="H419"/>
    </row>
    <row r="420" spans="2:8" ht="24.75" customHeight="1" x14ac:dyDescent="0.15">
      <c r="B420"/>
      <c r="H420"/>
    </row>
    <row r="421" spans="2:8" ht="24.75" customHeight="1" x14ac:dyDescent="0.15">
      <c r="B421"/>
      <c r="H421"/>
    </row>
    <row r="422" spans="2:8" ht="24.75" customHeight="1" x14ac:dyDescent="0.15">
      <c r="B422"/>
      <c r="H422"/>
    </row>
    <row r="423" spans="2:8" ht="24.75" customHeight="1" x14ac:dyDescent="0.15">
      <c r="B423"/>
      <c r="H423"/>
    </row>
    <row r="424" spans="2:8" ht="24.75" customHeight="1" x14ac:dyDescent="0.15">
      <c r="B424"/>
      <c r="H424"/>
    </row>
    <row r="425" spans="2:8" ht="12" customHeight="1" x14ac:dyDescent="0.15">
      <c r="B425"/>
      <c r="H425"/>
    </row>
    <row r="426" spans="2:8" ht="24.75" customHeight="1" x14ac:dyDescent="0.15">
      <c r="B426"/>
      <c r="H426"/>
    </row>
    <row r="427" spans="2:8" ht="24.75" customHeight="1" x14ac:dyDescent="0.15">
      <c r="B427"/>
      <c r="H427"/>
    </row>
    <row r="428" spans="2:8" ht="24.75" customHeight="1" x14ac:dyDescent="0.15">
      <c r="B428"/>
      <c r="H428"/>
    </row>
    <row r="429" spans="2:8" ht="24.75" customHeight="1" x14ac:dyDescent="0.15">
      <c r="B429"/>
      <c r="H429"/>
    </row>
    <row r="430" spans="2:8" ht="24.75" customHeight="1" x14ac:dyDescent="0.15">
      <c r="B430"/>
      <c r="H430"/>
    </row>
    <row r="431" spans="2:8" ht="24.75" customHeight="1" x14ac:dyDescent="0.15">
      <c r="B431"/>
      <c r="H431"/>
    </row>
    <row r="432" spans="2:8" ht="24.75" customHeight="1" x14ac:dyDescent="0.15">
      <c r="B432"/>
      <c r="H432"/>
    </row>
    <row r="433" spans="2:8" ht="24.75" customHeight="1" x14ac:dyDescent="0.15">
      <c r="B433"/>
      <c r="H433"/>
    </row>
    <row r="434" spans="2:8" ht="24.75" customHeight="1" x14ac:dyDescent="0.15">
      <c r="B434"/>
      <c r="H434"/>
    </row>
    <row r="435" spans="2:8" ht="24.75" customHeight="1" x14ac:dyDescent="0.15">
      <c r="B435"/>
      <c r="H435"/>
    </row>
    <row r="436" spans="2:8" ht="24.75" customHeight="1" x14ac:dyDescent="0.15">
      <c r="B436"/>
      <c r="H436"/>
    </row>
    <row r="437" spans="2:8" ht="24.75" customHeight="1" x14ac:dyDescent="0.15">
      <c r="B437"/>
      <c r="H437"/>
    </row>
    <row r="438" spans="2:8" ht="24.75" customHeight="1" x14ac:dyDescent="0.15">
      <c r="B438"/>
      <c r="H438"/>
    </row>
    <row r="439" spans="2:8" ht="24.75" customHeight="1" x14ac:dyDescent="0.15">
      <c r="B439"/>
      <c r="H439"/>
    </row>
    <row r="440" spans="2:8" ht="24.75" customHeight="1" x14ac:dyDescent="0.15">
      <c r="B440"/>
      <c r="H440"/>
    </row>
    <row r="441" spans="2:8" ht="24.75" customHeight="1" x14ac:dyDescent="0.15">
      <c r="B441"/>
      <c r="H441"/>
    </row>
    <row r="442" spans="2:8" ht="24.75" customHeight="1" x14ac:dyDescent="0.15">
      <c r="B442"/>
      <c r="H442"/>
    </row>
    <row r="443" spans="2:8" ht="24.75" customHeight="1" x14ac:dyDescent="0.15">
      <c r="B443"/>
      <c r="H443"/>
    </row>
    <row r="444" spans="2:8" ht="24.75" customHeight="1" x14ac:dyDescent="0.15">
      <c r="B444"/>
      <c r="H444"/>
    </row>
    <row r="445" spans="2:8" ht="24.75" customHeight="1" x14ac:dyDescent="0.15">
      <c r="B445"/>
      <c r="H445"/>
    </row>
    <row r="446" spans="2:8" ht="24.75" customHeight="1" x14ac:dyDescent="0.15">
      <c r="B446"/>
      <c r="H446"/>
    </row>
    <row r="447" spans="2:8" ht="24.75" customHeight="1" x14ac:dyDescent="0.15">
      <c r="B447"/>
      <c r="H447"/>
    </row>
    <row r="448" spans="2:8" ht="24.75" customHeight="1" x14ac:dyDescent="0.15">
      <c r="B448"/>
      <c r="H448"/>
    </row>
    <row r="449" spans="2:8" ht="24.75" customHeight="1" x14ac:dyDescent="0.15">
      <c r="B449"/>
      <c r="H449"/>
    </row>
    <row r="450" spans="2:8" ht="12" customHeight="1" x14ac:dyDescent="0.15">
      <c r="B450"/>
      <c r="H450"/>
    </row>
    <row r="451" spans="2:8" ht="24.75" customHeight="1" x14ac:dyDescent="0.15">
      <c r="B451"/>
      <c r="H451"/>
    </row>
    <row r="452" spans="2:8" ht="24.75" customHeight="1" x14ac:dyDescent="0.15">
      <c r="B452"/>
      <c r="H452"/>
    </row>
    <row r="453" spans="2:8" ht="24.75" customHeight="1" x14ac:dyDescent="0.15">
      <c r="B453"/>
      <c r="H453"/>
    </row>
    <row r="454" spans="2:8" ht="24.75" customHeight="1" x14ac:dyDescent="0.15">
      <c r="B454"/>
      <c r="H454"/>
    </row>
    <row r="455" spans="2:8" ht="24.75" customHeight="1" x14ac:dyDescent="0.15">
      <c r="B455"/>
      <c r="H455"/>
    </row>
    <row r="456" spans="2:8" ht="24.75" customHeight="1" x14ac:dyDescent="0.15">
      <c r="B456"/>
      <c r="H456"/>
    </row>
    <row r="457" spans="2:8" ht="24.75" customHeight="1" x14ac:dyDescent="0.15">
      <c r="B457"/>
      <c r="H457"/>
    </row>
    <row r="458" spans="2:8" ht="24.75" customHeight="1" x14ac:dyDescent="0.15">
      <c r="B458"/>
      <c r="H458"/>
    </row>
    <row r="459" spans="2:8" ht="24.75" customHeight="1" x14ac:dyDescent="0.15">
      <c r="B459"/>
      <c r="H459"/>
    </row>
    <row r="460" spans="2:8" ht="24.75" customHeight="1" x14ac:dyDescent="0.15">
      <c r="B460"/>
      <c r="H460"/>
    </row>
    <row r="461" spans="2:8" ht="24.75" customHeight="1" x14ac:dyDescent="0.15">
      <c r="B461"/>
      <c r="H461"/>
    </row>
    <row r="462" spans="2:8" ht="24.75" customHeight="1" x14ac:dyDescent="0.15">
      <c r="B462"/>
      <c r="H462"/>
    </row>
    <row r="463" spans="2:8" ht="24.75" customHeight="1" x14ac:dyDescent="0.15">
      <c r="B463"/>
      <c r="H463"/>
    </row>
    <row r="464" spans="2:8" ht="24.75" customHeight="1" x14ac:dyDescent="0.15">
      <c r="B464"/>
      <c r="H464"/>
    </row>
    <row r="465" spans="2:8" ht="24.75" customHeight="1" x14ac:dyDescent="0.15">
      <c r="B465"/>
      <c r="H465"/>
    </row>
    <row r="466" spans="2:8" ht="24.75" customHeight="1" x14ac:dyDescent="0.15">
      <c r="B466"/>
      <c r="H466"/>
    </row>
    <row r="467" spans="2:8" ht="24.75" customHeight="1" x14ac:dyDescent="0.15">
      <c r="B467"/>
      <c r="H467"/>
    </row>
    <row r="468" spans="2:8" ht="24.75" customHeight="1" x14ac:dyDescent="0.15">
      <c r="B468"/>
      <c r="H468"/>
    </row>
    <row r="469" spans="2:8" ht="24.75" customHeight="1" x14ac:dyDescent="0.15">
      <c r="B469"/>
      <c r="H469"/>
    </row>
    <row r="470" spans="2:8" ht="24.75" customHeight="1" x14ac:dyDescent="0.15">
      <c r="B470"/>
      <c r="H470"/>
    </row>
    <row r="471" spans="2:8" ht="24.75" customHeight="1" x14ac:dyDescent="0.15">
      <c r="B471"/>
      <c r="H471"/>
    </row>
    <row r="472" spans="2:8" ht="24.75" customHeight="1" x14ac:dyDescent="0.15">
      <c r="B472"/>
      <c r="H472"/>
    </row>
    <row r="473" spans="2:8" ht="24.75" customHeight="1" x14ac:dyDescent="0.15">
      <c r="B473"/>
      <c r="H473"/>
    </row>
    <row r="474" spans="2:8" ht="24.75" customHeight="1" x14ac:dyDescent="0.15">
      <c r="B474"/>
      <c r="H474"/>
    </row>
    <row r="475" spans="2:8" ht="12" customHeight="1" x14ac:dyDescent="0.15">
      <c r="B475"/>
      <c r="H475"/>
    </row>
    <row r="476" spans="2:8" ht="24.75" customHeight="1" x14ac:dyDescent="0.15">
      <c r="B476"/>
      <c r="H476"/>
    </row>
    <row r="477" spans="2:8" ht="24.75" customHeight="1" x14ac:dyDescent="0.15">
      <c r="B477"/>
      <c r="H477"/>
    </row>
    <row r="478" spans="2:8" ht="24.75" customHeight="1" x14ac:dyDescent="0.15">
      <c r="B478"/>
      <c r="H478"/>
    </row>
    <row r="479" spans="2:8" ht="24.75" customHeight="1" x14ac:dyDescent="0.15">
      <c r="B479"/>
      <c r="H479"/>
    </row>
    <row r="480" spans="2:8" ht="24.75" customHeight="1" x14ac:dyDescent="0.15">
      <c r="B480"/>
      <c r="H480"/>
    </row>
    <row r="481" spans="2:8" ht="24.75" customHeight="1" x14ac:dyDescent="0.15">
      <c r="B481"/>
      <c r="H481"/>
    </row>
    <row r="482" spans="2:8" ht="24.75" customHeight="1" x14ac:dyDescent="0.15">
      <c r="B482"/>
      <c r="H482"/>
    </row>
    <row r="483" spans="2:8" ht="24.75" customHeight="1" x14ac:dyDescent="0.15">
      <c r="B483"/>
      <c r="H483"/>
    </row>
    <row r="484" spans="2:8" ht="24.75" customHeight="1" x14ac:dyDescent="0.15">
      <c r="B484"/>
      <c r="H484"/>
    </row>
    <row r="485" spans="2:8" ht="24.75" customHeight="1" x14ac:dyDescent="0.15">
      <c r="B485"/>
      <c r="H485"/>
    </row>
    <row r="486" spans="2:8" ht="24.75" customHeight="1" x14ac:dyDescent="0.15">
      <c r="B486"/>
      <c r="H486"/>
    </row>
    <row r="487" spans="2:8" ht="24.75" customHeight="1" x14ac:dyDescent="0.15">
      <c r="B487"/>
      <c r="H487"/>
    </row>
    <row r="488" spans="2:8" ht="24.75" customHeight="1" x14ac:dyDescent="0.15">
      <c r="B488"/>
      <c r="H488"/>
    </row>
    <row r="489" spans="2:8" ht="24.75" customHeight="1" x14ac:dyDescent="0.15">
      <c r="B489"/>
      <c r="H489"/>
    </row>
    <row r="490" spans="2:8" ht="24.75" customHeight="1" x14ac:dyDescent="0.15">
      <c r="B490"/>
      <c r="H490"/>
    </row>
    <row r="491" spans="2:8" ht="24.75" customHeight="1" x14ac:dyDescent="0.15">
      <c r="B491"/>
      <c r="H491"/>
    </row>
    <row r="492" spans="2:8" ht="24.75" customHeight="1" x14ac:dyDescent="0.15">
      <c r="B492"/>
      <c r="H492"/>
    </row>
    <row r="493" spans="2:8" ht="24.75" customHeight="1" x14ac:dyDescent="0.15">
      <c r="B493"/>
      <c r="H493"/>
    </row>
    <row r="494" spans="2:8" ht="24.75" customHeight="1" x14ac:dyDescent="0.15">
      <c r="B494"/>
      <c r="H494"/>
    </row>
    <row r="495" spans="2:8" ht="24.75" customHeight="1" x14ac:dyDescent="0.15">
      <c r="B495"/>
      <c r="H495"/>
    </row>
    <row r="496" spans="2:8" ht="24.75" customHeight="1" x14ac:dyDescent="0.15">
      <c r="B496"/>
      <c r="H496"/>
    </row>
    <row r="497" spans="2:8" ht="24.75" customHeight="1" x14ac:dyDescent="0.15">
      <c r="B497"/>
      <c r="H497"/>
    </row>
    <row r="498" spans="2:8" ht="24.75" customHeight="1" x14ac:dyDescent="0.15">
      <c r="B498"/>
      <c r="H498"/>
    </row>
    <row r="499" spans="2:8" ht="24.75" customHeight="1" x14ac:dyDescent="0.15">
      <c r="B499"/>
      <c r="H499"/>
    </row>
    <row r="500" spans="2:8" x14ac:dyDescent="0.15">
      <c r="B500"/>
      <c r="H500"/>
    </row>
    <row r="501" spans="2:8" x14ac:dyDescent="0.15">
      <c r="B501"/>
      <c r="H501"/>
    </row>
    <row r="502" spans="2:8" x14ac:dyDescent="0.15">
      <c r="B502"/>
      <c r="H502"/>
    </row>
    <row r="503" spans="2:8" x14ac:dyDescent="0.15">
      <c r="B503"/>
      <c r="H503"/>
    </row>
    <row r="504" spans="2:8" x14ac:dyDescent="0.15">
      <c r="B504"/>
      <c r="H504"/>
    </row>
    <row r="505" spans="2:8" x14ac:dyDescent="0.15">
      <c r="B505"/>
      <c r="H505"/>
    </row>
    <row r="506" spans="2:8" x14ac:dyDescent="0.15">
      <c r="B506"/>
      <c r="H506"/>
    </row>
    <row r="507" spans="2:8" x14ac:dyDescent="0.15">
      <c r="B507"/>
      <c r="H507"/>
    </row>
    <row r="508" spans="2:8" x14ac:dyDescent="0.15">
      <c r="B508"/>
      <c r="H508"/>
    </row>
    <row r="509" spans="2:8" x14ac:dyDescent="0.15">
      <c r="B509"/>
      <c r="H509"/>
    </row>
    <row r="510" spans="2:8" x14ac:dyDescent="0.15">
      <c r="B510"/>
      <c r="H510"/>
    </row>
    <row r="511" spans="2:8" x14ac:dyDescent="0.15">
      <c r="B511"/>
      <c r="H511"/>
    </row>
    <row r="512" spans="2:8" x14ac:dyDescent="0.15">
      <c r="B512"/>
      <c r="H512"/>
    </row>
    <row r="513" spans="2:8" x14ac:dyDescent="0.15">
      <c r="B513"/>
      <c r="H513"/>
    </row>
    <row r="514" spans="2:8" x14ac:dyDescent="0.15">
      <c r="B514"/>
      <c r="H514"/>
    </row>
    <row r="515" spans="2:8" x14ac:dyDescent="0.15">
      <c r="B515"/>
      <c r="H515"/>
    </row>
    <row r="516" spans="2:8" x14ac:dyDescent="0.15">
      <c r="B516"/>
      <c r="H516"/>
    </row>
    <row r="517" spans="2:8" x14ac:dyDescent="0.15">
      <c r="B517"/>
      <c r="H517"/>
    </row>
    <row r="518" spans="2:8" x14ac:dyDescent="0.15">
      <c r="B518"/>
      <c r="H518"/>
    </row>
    <row r="519" spans="2:8" x14ac:dyDescent="0.15">
      <c r="B519"/>
      <c r="H519"/>
    </row>
    <row r="520" spans="2:8" x14ac:dyDescent="0.15">
      <c r="B520"/>
      <c r="H520"/>
    </row>
    <row r="521" spans="2:8" x14ac:dyDescent="0.15">
      <c r="B521"/>
      <c r="H521"/>
    </row>
    <row r="522" spans="2:8" x14ac:dyDescent="0.15">
      <c r="B522"/>
      <c r="H522"/>
    </row>
    <row r="523" spans="2:8" x14ac:dyDescent="0.15">
      <c r="B523"/>
      <c r="H523"/>
    </row>
    <row r="524" spans="2:8" x14ac:dyDescent="0.15">
      <c r="B524"/>
      <c r="H524"/>
    </row>
    <row r="525" spans="2:8" x14ac:dyDescent="0.15">
      <c r="B525"/>
      <c r="H525"/>
    </row>
    <row r="526" spans="2:8" x14ac:dyDescent="0.15">
      <c r="B526"/>
      <c r="H526"/>
    </row>
    <row r="527" spans="2:8" x14ac:dyDescent="0.15">
      <c r="B527"/>
      <c r="H527"/>
    </row>
    <row r="528" spans="2:8" x14ac:dyDescent="0.15">
      <c r="B528"/>
      <c r="H528"/>
    </row>
    <row r="529" spans="2:8" x14ac:dyDescent="0.15">
      <c r="B529"/>
      <c r="H529"/>
    </row>
    <row r="530" spans="2:8" x14ac:dyDescent="0.15">
      <c r="B530"/>
      <c r="H530"/>
    </row>
    <row r="531" spans="2:8" x14ac:dyDescent="0.15">
      <c r="B531"/>
      <c r="H531"/>
    </row>
    <row r="532" spans="2:8" x14ac:dyDescent="0.15">
      <c r="B532"/>
      <c r="H532"/>
    </row>
    <row r="533" spans="2:8" x14ac:dyDescent="0.15">
      <c r="B533"/>
      <c r="H533"/>
    </row>
    <row r="534" spans="2:8" x14ac:dyDescent="0.15">
      <c r="B534"/>
      <c r="H534"/>
    </row>
    <row r="535" spans="2:8" x14ac:dyDescent="0.15">
      <c r="B535"/>
      <c r="H535"/>
    </row>
    <row r="536" spans="2:8" x14ac:dyDescent="0.15">
      <c r="B536"/>
      <c r="H536"/>
    </row>
    <row r="537" spans="2:8" x14ac:dyDescent="0.15">
      <c r="B537"/>
      <c r="H537"/>
    </row>
    <row r="538" spans="2:8" x14ac:dyDescent="0.15">
      <c r="B538"/>
      <c r="H538"/>
    </row>
    <row r="539" spans="2:8" x14ac:dyDescent="0.15">
      <c r="B539"/>
      <c r="H539"/>
    </row>
    <row r="540" spans="2:8" x14ac:dyDescent="0.15">
      <c r="B540"/>
      <c r="H540"/>
    </row>
    <row r="541" spans="2:8" x14ac:dyDescent="0.15">
      <c r="B541"/>
      <c r="H541"/>
    </row>
    <row r="542" spans="2:8" x14ac:dyDescent="0.15">
      <c r="B542"/>
      <c r="H542"/>
    </row>
    <row r="543" spans="2:8" x14ac:dyDescent="0.15">
      <c r="B543"/>
      <c r="H543"/>
    </row>
    <row r="544" spans="2:8" x14ac:dyDescent="0.15">
      <c r="B544"/>
      <c r="H544"/>
    </row>
    <row r="545" spans="2:8" x14ac:dyDescent="0.15">
      <c r="B545"/>
      <c r="H545"/>
    </row>
    <row r="546" spans="2:8" x14ac:dyDescent="0.15">
      <c r="B546"/>
      <c r="H546"/>
    </row>
    <row r="547" spans="2:8" x14ac:dyDescent="0.15">
      <c r="B547"/>
      <c r="H547"/>
    </row>
    <row r="548" spans="2:8" x14ac:dyDescent="0.15">
      <c r="B548"/>
      <c r="H548"/>
    </row>
    <row r="549" spans="2:8" x14ac:dyDescent="0.15">
      <c r="B549"/>
      <c r="H549"/>
    </row>
    <row r="550" spans="2:8" x14ac:dyDescent="0.15">
      <c r="B550"/>
      <c r="H550"/>
    </row>
    <row r="551" spans="2:8" x14ac:dyDescent="0.15">
      <c r="B551"/>
      <c r="H551"/>
    </row>
    <row r="552" spans="2:8" x14ac:dyDescent="0.15">
      <c r="B552"/>
      <c r="H552"/>
    </row>
    <row r="553" spans="2:8" x14ac:dyDescent="0.15">
      <c r="B553"/>
      <c r="H553"/>
    </row>
    <row r="554" spans="2:8" x14ac:dyDescent="0.15">
      <c r="B554"/>
      <c r="H554"/>
    </row>
    <row r="555" spans="2:8" x14ac:dyDescent="0.15">
      <c r="B555"/>
      <c r="H555"/>
    </row>
    <row r="556" spans="2:8" x14ac:dyDescent="0.15">
      <c r="B556"/>
      <c r="H556"/>
    </row>
    <row r="557" spans="2:8" x14ac:dyDescent="0.15">
      <c r="B557"/>
      <c r="H557"/>
    </row>
    <row r="558" spans="2:8" x14ac:dyDescent="0.15">
      <c r="B558"/>
      <c r="H558"/>
    </row>
    <row r="559" spans="2:8" x14ac:dyDescent="0.15">
      <c r="B559"/>
      <c r="H559"/>
    </row>
    <row r="560" spans="2:8" x14ac:dyDescent="0.15">
      <c r="B560"/>
      <c r="H560"/>
    </row>
    <row r="561" spans="2:8" x14ac:dyDescent="0.15">
      <c r="B561"/>
      <c r="H561"/>
    </row>
    <row r="562" spans="2:8" x14ac:dyDescent="0.15">
      <c r="B562"/>
      <c r="H562"/>
    </row>
    <row r="563" spans="2:8" x14ac:dyDescent="0.15">
      <c r="B563"/>
      <c r="H563"/>
    </row>
    <row r="564" spans="2:8" x14ac:dyDescent="0.15">
      <c r="B564"/>
      <c r="H564"/>
    </row>
    <row r="565" spans="2:8" x14ac:dyDescent="0.15">
      <c r="B565"/>
      <c r="H565"/>
    </row>
    <row r="566" spans="2:8" x14ac:dyDescent="0.15">
      <c r="B566"/>
      <c r="H566"/>
    </row>
    <row r="567" spans="2:8" x14ac:dyDescent="0.15">
      <c r="B567"/>
      <c r="H567"/>
    </row>
    <row r="568" spans="2:8" x14ac:dyDescent="0.15">
      <c r="B568"/>
      <c r="H568"/>
    </row>
    <row r="569" spans="2:8" x14ac:dyDescent="0.15">
      <c r="B569"/>
      <c r="H569"/>
    </row>
    <row r="570" spans="2:8" x14ac:dyDescent="0.15">
      <c r="B570"/>
      <c r="H570"/>
    </row>
    <row r="571" spans="2:8" x14ac:dyDescent="0.15">
      <c r="B571"/>
      <c r="H571"/>
    </row>
    <row r="572" spans="2:8" x14ac:dyDescent="0.15">
      <c r="B572"/>
      <c r="H572"/>
    </row>
    <row r="573" spans="2:8" x14ac:dyDescent="0.15">
      <c r="B573"/>
      <c r="H573"/>
    </row>
    <row r="574" spans="2:8" x14ac:dyDescent="0.15">
      <c r="B574"/>
      <c r="H574"/>
    </row>
    <row r="575" spans="2:8" x14ac:dyDescent="0.15">
      <c r="B575"/>
      <c r="H575"/>
    </row>
    <row r="576" spans="2:8" x14ac:dyDescent="0.15">
      <c r="B576"/>
      <c r="H576"/>
    </row>
    <row r="577" spans="2:8" x14ac:dyDescent="0.15">
      <c r="B577"/>
      <c r="H577"/>
    </row>
    <row r="578" spans="2:8" x14ac:dyDescent="0.15">
      <c r="B578"/>
      <c r="H578"/>
    </row>
    <row r="579" spans="2:8" x14ac:dyDescent="0.15">
      <c r="B579"/>
      <c r="H579"/>
    </row>
    <row r="580" spans="2:8" x14ac:dyDescent="0.15">
      <c r="B580"/>
      <c r="H580"/>
    </row>
    <row r="581" spans="2:8" x14ac:dyDescent="0.15">
      <c r="B581"/>
      <c r="H581"/>
    </row>
    <row r="582" spans="2:8" x14ac:dyDescent="0.15">
      <c r="B582"/>
      <c r="H582"/>
    </row>
    <row r="583" spans="2:8" x14ac:dyDescent="0.15">
      <c r="B583"/>
      <c r="H583"/>
    </row>
    <row r="584" spans="2:8" x14ac:dyDescent="0.15">
      <c r="B584"/>
      <c r="H584"/>
    </row>
    <row r="585" spans="2:8" x14ac:dyDescent="0.15">
      <c r="B585"/>
      <c r="H585"/>
    </row>
    <row r="586" spans="2:8" x14ac:dyDescent="0.15">
      <c r="B586"/>
      <c r="H586"/>
    </row>
    <row r="587" spans="2:8" x14ac:dyDescent="0.15">
      <c r="B587"/>
      <c r="H587"/>
    </row>
    <row r="588" spans="2:8" x14ac:dyDescent="0.15">
      <c r="B588"/>
      <c r="H588"/>
    </row>
    <row r="589" spans="2:8" x14ac:dyDescent="0.15">
      <c r="B589"/>
      <c r="H589"/>
    </row>
    <row r="590" spans="2:8" x14ac:dyDescent="0.15">
      <c r="B590"/>
      <c r="H590"/>
    </row>
    <row r="591" spans="2:8" x14ac:dyDescent="0.15">
      <c r="B591"/>
      <c r="H591"/>
    </row>
    <row r="592" spans="2:8" x14ac:dyDescent="0.15">
      <c r="B592"/>
      <c r="H592"/>
    </row>
    <row r="593" spans="2:8" x14ac:dyDescent="0.15">
      <c r="B593"/>
      <c r="H593"/>
    </row>
    <row r="594" spans="2:8" x14ac:dyDescent="0.15">
      <c r="B594"/>
      <c r="H594"/>
    </row>
    <row r="595" spans="2:8" x14ac:dyDescent="0.15">
      <c r="B595"/>
      <c r="H595"/>
    </row>
    <row r="596" spans="2:8" x14ac:dyDescent="0.15">
      <c r="B596"/>
      <c r="H596"/>
    </row>
    <row r="597" spans="2:8" x14ac:dyDescent="0.15">
      <c r="B597"/>
      <c r="H597"/>
    </row>
    <row r="598" spans="2:8" x14ac:dyDescent="0.15">
      <c r="B598"/>
      <c r="H598"/>
    </row>
    <row r="599" spans="2:8" x14ac:dyDescent="0.15">
      <c r="B599"/>
      <c r="H599"/>
    </row>
    <row r="600" spans="2:8" x14ac:dyDescent="0.15">
      <c r="B600"/>
      <c r="H600"/>
    </row>
    <row r="601" spans="2:8" x14ac:dyDescent="0.15">
      <c r="B601"/>
      <c r="H601"/>
    </row>
    <row r="602" spans="2:8" x14ac:dyDescent="0.15">
      <c r="B602"/>
      <c r="H602"/>
    </row>
    <row r="603" spans="2:8" x14ac:dyDescent="0.15">
      <c r="B603"/>
      <c r="H603"/>
    </row>
    <row r="604" spans="2:8" x14ac:dyDescent="0.15">
      <c r="B604"/>
      <c r="H604"/>
    </row>
    <row r="605" spans="2:8" x14ac:dyDescent="0.15">
      <c r="B605"/>
      <c r="H605"/>
    </row>
    <row r="606" spans="2:8" x14ac:dyDescent="0.15">
      <c r="B606"/>
      <c r="H606"/>
    </row>
    <row r="607" spans="2:8" x14ac:dyDescent="0.15">
      <c r="B607"/>
      <c r="H607"/>
    </row>
    <row r="608" spans="2:8" x14ac:dyDescent="0.15">
      <c r="B608"/>
      <c r="H608"/>
    </row>
    <row r="609" spans="2:8" x14ac:dyDescent="0.15">
      <c r="B609"/>
      <c r="H609"/>
    </row>
    <row r="610" spans="2:8" x14ac:dyDescent="0.15">
      <c r="B610"/>
      <c r="H610"/>
    </row>
    <row r="611" spans="2:8" x14ac:dyDescent="0.15">
      <c r="B611"/>
      <c r="H611"/>
    </row>
    <row r="612" spans="2:8" x14ac:dyDescent="0.15">
      <c r="B612"/>
      <c r="H612"/>
    </row>
    <row r="613" spans="2:8" x14ac:dyDescent="0.15">
      <c r="B613"/>
      <c r="H613"/>
    </row>
    <row r="614" spans="2:8" x14ac:dyDescent="0.15">
      <c r="B614"/>
      <c r="H614"/>
    </row>
    <row r="615" spans="2:8" x14ac:dyDescent="0.15">
      <c r="B615"/>
      <c r="H615"/>
    </row>
    <row r="616" spans="2:8" x14ac:dyDescent="0.15">
      <c r="B616"/>
      <c r="H616"/>
    </row>
    <row r="617" spans="2:8" x14ac:dyDescent="0.15">
      <c r="B617"/>
      <c r="H617"/>
    </row>
    <row r="618" spans="2:8" x14ac:dyDescent="0.15">
      <c r="B618"/>
      <c r="H618"/>
    </row>
    <row r="619" spans="2:8" x14ac:dyDescent="0.15">
      <c r="B619"/>
      <c r="H619"/>
    </row>
    <row r="620" spans="2:8" x14ac:dyDescent="0.15">
      <c r="B620"/>
      <c r="H620"/>
    </row>
    <row r="621" spans="2:8" x14ac:dyDescent="0.15">
      <c r="B621"/>
      <c r="H621"/>
    </row>
    <row r="622" spans="2:8" x14ac:dyDescent="0.15">
      <c r="B622"/>
      <c r="H622"/>
    </row>
    <row r="623" spans="2:8" x14ac:dyDescent="0.15">
      <c r="B623"/>
      <c r="H623"/>
    </row>
    <row r="624" spans="2:8" x14ac:dyDescent="0.15">
      <c r="B624"/>
      <c r="H624"/>
    </row>
    <row r="625" spans="2:8" x14ac:dyDescent="0.15">
      <c r="B625"/>
      <c r="H625"/>
    </row>
    <row r="626" spans="2:8" x14ac:dyDescent="0.15">
      <c r="B626"/>
      <c r="H626"/>
    </row>
    <row r="627" spans="2:8" x14ac:dyDescent="0.15">
      <c r="B627"/>
      <c r="H627"/>
    </row>
    <row r="628" spans="2:8" x14ac:dyDescent="0.15">
      <c r="B628"/>
      <c r="H628"/>
    </row>
    <row r="629" spans="2:8" x14ac:dyDescent="0.15">
      <c r="B629"/>
      <c r="H629"/>
    </row>
    <row r="630" spans="2:8" x14ac:dyDescent="0.15">
      <c r="B630"/>
      <c r="H630"/>
    </row>
    <row r="631" spans="2:8" x14ac:dyDescent="0.15">
      <c r="B631"/>
      <c r="H631"/>
    </row>
    <row r="632" spans="2:8" x14ac:dyDescent="0.15">
      <c r="B632"/>
      <c r="H632"/>
    </row>
    <row r="633" spans="2:8" x14ac:dyDescent="0.15">
      <c r="B633"/>
      <c r="H633"/>
    </row>
    <row r="634" spans="2:8" x14ac:dyDescent="0.15">
      <c r="B634"/>
      <c r="H634"/>
    </row>
    <row r="635" spans="2:8" x14ac:dyDescent="0.15">
      <c r="B635"/>
      <c r="H635"/>
    </row>
    <row r="636" spans="2:8" x14ac:dyDescent="0.15">
      <c r="B636"/>
      <c r="H636"/>
    </row>
    <row r="637" spans="2:8" x14ac:dyDescent="0.15">
      <c r="B637"/>
      <c r="H637"/>
    </row>
    <row r="638" spans="2:8" x14ac:dyDescent="0.15">
      <c r="B638"/>
      <c r="H638"/>
    </row>
    <row r="639" spans="2:8" x14ac:dyDescent="0.15">
      <c r="B639"/>
      <c r="H639"/>
    </row>
    <row r="640" spans="2:8" x14ac:dyDescent="0.15">
      <c r="B640"/>
      <c r="H640"/>
    </row>
    <row r="641" spans="2:8" x14ac:dyDescent="0.15">
      <c r="B641"/>
      <c r="H641"/>
    </row>
    <row r="642" spans="2:8" x14ac:dyDescent="0.15">
      <c r="B642"/>
      <c r="H642"/>
    </row>
    <row r="643" spans="2:8" x14ac:dyDescent="0.15">
      <c r="B643"/>
      <c r="H643"/>
    </row>
    <row r="644" spans="2:8" x14ac:dyDescent="0.15">
      <c r="B644"/>
      <c r="H644"/>
    </row>
    <row r="645" spans="2:8" x14ac:dyDescent="0.15">
      <c r="B645"/>
      <c r="H645"/>
    </row>
    <row r="646" spans="2:8" x14ac:dyDescent="0.15">
      <c r="B646"/>
      <c r="H646"/>
    </row>
    <row r="647" spans="2:8" x14ac:dyDescent="0.15">
      <c r="B647"/>
      <c r="H647"/>
    </row>
    <row r="648" spans="2:8" x14ac:dyDescent="0.15">
      <c r="B648"/>
      <c r="H648"/>
    </row>
    <row r="649" spans="2:8" x14ac:dyDescent="0.15">
      <c r="B649"/>
      <c r="H649"/>
    </row>
    <row r="650" spans="2:8" x14ac:dyDescent="0.15">
      <c r="B650"/>
      <c r="H650"/>
    </row>
    <row r="651" spans="2:8" x14ac:dyDescent="0.15">
      <c r="B651"/>
      <c r="H651"/>
    </row>
    <row r="652" spans="2:8" x14ac:dyDescent="0.15">
      <c r="B652"/>
      <c r="H652"/>
    </row>
    <row r="653" spans="2:8" x14ac:dyDescent="0.15">
      <c r="B653"/>
      <c r="H653"/>
    </row>
    <row r="654" spans="2:8" x14ac:dyDescent="0.15">
      <c r="B654"/>
      <c r="H654"/>
    </row>
    <row r="655" spans="2:8" x14ac:dyDescent="0.15">
      <c r="B655"/>
      <c r="H655"/>
    </row>
    <row r="656" spans="2:8" x14ac:dyDescent="0.15">
      <c r="B656"/>
      <c r="H656"/>
    </row>
    <row r="657" spans="2:8" x14ac:dyDescent="0.15">
      <c r="B657"/>
      <c r="H657"/>
    </row>
    <row r="658" spans="2:8" x14ac:dyDescent="0.15">
      <c r="B658"/>
      <c r="H658"/>
    </row>
    <row r="659" spans="2:8" x14ac:dyDescent="0.15">
      <c r="B659"/>
      <c r="H659"/>
    </row>
    <row r="660" spans="2:8" x14ac:dyDescent="0.15">
      <c r="B660"/>
      <c r="H660"/>
    </row>
    <row r="661" spans="2:8" x14ac:dyDescent="0.15">
      <c r="B661"/>
      <c r="H661"/>
    </row>
    <row r="662" spans="2:8" x14ac:dyDescent="0.15">
      <c r="B662"/>
      <c r="H662"/>
    </row>
    <row r="663" spans="2:8" x14ac:dyDescent="0.15">
      <c r="B663"/>
      <c r="H663"/>
    </row>
    <row r="664" spans="2:8" x14ac:dyDescent="0.15">
      <c r="B664"/>
      <c r="H664"/>
    </row>
    <row r="665" spans="2:8" x14ac:dyDescent="0.15">
      <c r="B665"/>
      <c r="H665"/>
    </row>
    <row r="666" spans="2:8" x14ac:dyDescent="0.15">
      <c r="B666"/>
      <c r="H666"/>
    </row>
    <row r="667" spans="2:8" x14ac:dyDescent="0.15">
      <c r="B667"/>
      <c r="H667"/>
    </row>
    <row r="668" spans="2:8" x14ac:dyDescent="0.15">
      <c r="B668"/>
      <c r="H668"/>
    </row>
    <row r="669" spans="2:8" x14ac:dyDescent="0.15">
      <c r="B669"/>
      <c r="H669"/>
    </row>
    <row r="670" spans="2:8" x14ac:dyDescent="0.15">
      <c r="B670"/>
      <c r="H670"/>
    </row>
    <row r="671" spans="2:8" x14ac:dyDescent="0.15">
      <c r="B671"/>
      <c r="H671"/>
    </row>
    <row r="672" spans="2:8" x14ac:dyDescent="0.15">
      <c r="B672"/>
      <c r="H672"/>
    </row>
    <row r="673" spans="2:8" x14ac:dyDescent="0.15">
      <c r="B673"/>
      <c r="H673"/>
    </row>
    <row r="674" spans="2:8" x14ac:dyDescent="0.15">
      <c r="B674"/>
      <c r="H674"/>
    </row>
    <row r="675" spans="2:8" x14ac:dyDescent="0.15">
      <c r="B675"/>
      <c r="H675"/>
    </row>
    <row r="676" spans="2:8" x14ac:dyDescent="0.15">
      <c r="B676"/>
      <c r="H676"/>
    </row>
    <row r="677" spans="2:8" x14ac:dyDescent="0.15">
      <c r="B677"/>
      <c r="H677"/>
    </row>
    <row r="678" spans="2:8" x14ac:dyDescent="0.15">
      <c r="B678"/>
      <c r="H678"/>
    </row>
    <row r="679" spans="2:8" x14ac:dyDescent="0.15">
      <c r="B679"/>
      <c r="H679"/>
    </row>
    <row r="680" spans="2:8" x14ac:dyDescent="0.15">
      <c r="B680"/>
      <c r="H680"/>
    </row>
    <row r="681" spans="2:8" x14ac:dyDescent="0.15">
      <c r="B681"/>
      <c r="H681"/>
    </row>
    <row r="682" spans="2:8" x14ac:dyDescent="0.15">
      <c r="B682"/>
      <c r="H682"/>
    </row>
    <row r="683" spans="2:8" x14ac:dyDescent="0.15">
      <c r="B683"/>
      <c r="H683"/>
    </row>
    <row r="684" spans="2:8" x14ac:dyDescent="0.15">
      <c r="B684"/>
      <c r="H684"/>
    </row>
    <row r="685" spans="2:8" x14ac:dyDescent="0.15">
      <c r="B685"/>
      <c r="H685"/>
    </row>
    <row r="686" spans="2:8" x14ac:dyDescent="0.15">
      <c r="B686"/>
      <c r="H686"/>
    </row>
    <row r="687" spans="2:8" x14ac:dyDescent="0.15">
      <c r="B687"/>
      <c r="H687"/>
    </row>
    <row r="688" spans="2:8" x14ac:dyDescent="0.15">
      <c r="B688"/>
      <c r="H688"/>
    </row>
    <row r="689" spans="2:8" x14ac:dyDescent="0.15">
      <c r="B689"/>
      <c r="H689"/>
    </row>
    <row r="690" spans="2:8" x14ac:dyDescent="0.15">
      <c r="B690"/>
      <c r="H690"/>
    </row>
    <row r="691" spans="2:8" x14ac:dyDescent="0.15">
      <c r="B691"/>
      <c r="H691"/>
    </row>
    <row r="692" spans="2:8" x14ac:dyDescent="0.15">
      <c r="B692"/>
      <c r="H692"/>
    </row>
    <row r="693" spans="2:8" x14ac:dyDescent="0.15">
      <c r="B693"/>
      <c r="H693"/>
    </row>
    <row r="694" spans="2:8" x14ac:dyDescent="0.15">
      <c r="B694"/>
      <c r="H694"/>
    </row>
    <row r="695" spans="2:8" x14ac:dyDescent="0.15">
      <c r="B695"/>
      <c r="H695"/>
    </row>
    <row r="696" spans="2:8" x14ac:dyDescent="0.15">
      <c r="B696"/>
      <c r="H696"/>
    </row>
    <row r="697" spans="2:8" x14ac:dyDescent="0.15">
      <c r="B697"/>
      <c r="H697"/>
    </row>
    <row r="698" spans="2:8" x14ac:dyDescent="0.15">
      <c r="B698"/>
      <c r="H698"/>
    </row>
    <row r="699" spans="2:8" x14ac:dyDescent="0.15">
      <c r="B699"/>
      <c r="H699"/>
    </row>
    <row r="700" spans="2:8" x14ac:dyDescent="0.15">
      <c r="B700"/>
      <c r="H700"/>
    </row>
    <row r="701" spans="2:8" x14ac:dyDescent="0.15">
      <c r="B701"/>
      <c r="H701"/>
    </row>
    <row r="702" spans="2:8" x14ac:dyDescent="0.15">
      <c r="B702"/>
      <c r="H702"/>
    </row>
    <row r="703" spans="2:8" x14ac:dyDescent="0.15">
      <c r="B703"/>
      <c r="H703"/>
    </row>
    <row r="704" spans="2:8" x14ac:dyDescent="0.15">
      <c r="B704"/>
      <c r="H704"/>
    </row>
    <row r="705" spans="2:8" x14ac:dyDescent="0.15">
      <c r="B705"/>
      <c r="H705"/>
    </row>
    <row r="706" spans="2:8" x14ac:dyDescent="0.15">
      <c r="B706"/>
      <c r="H706"/>
    </row>
    <row r="707" spans="2:8" x14ac:dyDescent="0.15">
      <c r="B707"/>
      <c r="H707"/>
    </row>
    <row r="708" spans="2:8" x14ac:dyDescent="0.15">
      <c r="B708"/>
      <c r="H708"/>
    </row>
    <row r="709" spans="2:8" x14ac:dyDescent="0.15">
      <c r="B709"/>
      <c r="H709"/>
    </row>
    <row r="710" spans="2:8" x14ac:dyDescent="0.15">
      <c r="B710"/>
      <c r="H710"/>
    </row>
    <row r="711" spans="2:8" x14ac:dyDescent="0.15">
      <c r="B711"/>
      <c r="H711"/>
    </row>
    <row r="712" spans="2:8" x14ac:dyDescent="0.15">
      <c r="B712"/>
      <c r="H712"/>
    </row>
    <row r="713" spans="2:8" x14ac:dyDescent="0.15">
      <c r="B713"/>
      <c r="H713"/>
    </row>
    <row r="714" spans="2:8" x14ac:dyDescent="0.15">
      <c r="B714"/>
      <c r="H714"/>
    </row>
    <row r="715" spans="2:8" x14ac:dyDescent="0.15">
      <c r="B715"/>
      <c r="H715"/>
    </row>
    <row r="716" spans="2:8" x14ac:dyDescent="0.15">
      <c r="B716"/>
      <c r="H716"/>
    </row>
    <row r="717" spans="2:8" x14ac:dyDescent="0.15">
      <c r="B717"/>
      <c r="H717"/>
    </row>
    <row r="718" spans="2:8" x14ac:dyDescent="0.15">
      <c r="B718"/>
      <c r="H718"/>
    </row>
    <row r="719" spans="2:8" x14ac:dyDescent="0.15">
      <c r="B719"/>
      <c r="H719"/>
    </row>
    <row r="720" spans="2:8" x14ac:dyDescent="0.15">
      <c r="B720"/>
      <c r="H720"/>
    </row>
    <row r="721" spans="2:8" x14ac:dyDescent="0.15">
      <c r="B721"/>
      <c r="H721"/>
    </row>
    <row r="722" spans="2:8" x14ac:dyDescent="0.15">
      <c r="B722"/>
      <c r="H722"/>
    </row>
    <row r="723" spans="2:8" x14ac:dyDescent="0.15">
      <c r="B723"/>
      <c r="H723"/>
    </row>
    <row r="724" spans="2:8" x14ac:dyDescent="0.15">
      <c r="B724"/>
      <c r="H724"/>
    </row>
    <row r="725" spans="2:8" x14ac:dyDescent="0.15">
      <c r="B725"/>
      <c r="H725"/>
    </row>
    <row r="726" spans="2:8" x14ac:dyDescent="0.15">
      <c r="B726"/>
      <c r="H726"/>
    </row>
    <row r="727" spans="2:8" x14ac:dyDescent="0.15">
      <c r="B727"/>
      <c r="H727"/>
    </row>
    <row r="728" spans="2:8" x14ac:dyDescent="0.15">
      <c r="B728"/>
      <c r="H728"/>
    </row>
    <row r="729" spans="2:8" x14ac:dyDescent="0.15">
      <c r="B729"/>
      <c r="H729"/>
    </row>
    <row r="730" spans="2:8" x14ac:dyDescent="0.15">
      <c r="B730"/>
      <c r="H730"/>
    </row>
    <row r="731" spans="2:8" x14ac:dyDescent="0.15">
      <c r="B731"/>
      <c r="H731"/>
    </row>
    <row r="732" spans="2:8" x14ac:dyDescent="0.15">
      <c r="B732"/>
      <c r="H732"/>
    </row>
    <row r="733" spans="2:8" x14ac:dyDescent="0.15">
      <c r="B733"/>
      <c r="H733"/>
    </row>
    <row r="734" spans="2:8" x14ac:dyDescent="0.15">
      <c r="B734"/>
      <c r="H734"/>
    </row>
    <row r="735" spans="2:8" x14ac:dyDescent="0.15">
      <c r="B735"/>
      <c r="H735"/>
    </row>
    <row r="736" spans="2:8" x14ac:dyDescent="0.15">
      <c r="B736"/>
      <c r="H736"/>
    </row>
    <row r="737" spans="2:8" x14ac:dyDescent="0.15">
      <c r="B737"/>
      <c r="H737"/>
    </row>
    <row r="738" spans="2:8" x14ac:dyDescent="0.15">
      <c r="B738"/>
      <c r="H738"/>
    </row>
    <row r="739" spans="2:8" x14ac:dyDescent="0.15">
      <c r="B739"/>
      <c r="H739"/>
    </row>
    <row r="740" spans="2:8" x14ac:dyDescent="0.15">
      <c r="B740"/>
      <c r="H740"/>
    </row>
    <row r="741" spans="2:8" x14ac:dyDescent="0.15">
      <c r="B741"/>
      <c r="H741"/>
    </row>
    <row r="742" spans="2:8" x14ac:dyDescent="0.15">
      <c r="B742"/>
      <c r="H742"/>
    </row>
    <row r="743" spans="2:8" x14ac:dyDescent="0.15">
      <c r="B743"/>
      <c r="H743"/>
    </row>
    <row r="744" spans="2:8" x14ac:dyDescent="0.15">
      <c r="B744"/>
      <c r="H744"/>
    </row>
    <row r="745" spans="2:8" x14ac:dyDescent="0.15">
      <c r="B745"/>
      <c r="H745"/>
    </row>
    <row r="746" spans="2:8" x14ac:dyDescent="0.15">
      <c r="B746"/>
      <c r="H746"/>
    </row>
    <row r="747" spans="2:8" x14ac:dyDescent="0.15">
      <c r="B747"/>
      <c r="H747"/>
    </row>
    <row r="748" spans="2:8" x14ac:dyDescent="0.15">
      <c r="B748"/>
      <c r="H748"/>
    </row>
    <row r="749" spans="2:8" x14ac:dyDescent="0.15">
      <c r="B749"/>
      <c r="H749"/>
    </row>
    <row r="750" spans="2:8" x14ac:dyDescent="0.15">
      <c r="B750"/>
      <c r="H750"/>
    </row>
    <row r="751" spans="2:8" x14ac:dyDescent="0.15">
      <c r="B751"/>
      <c r="H751"/>
    </row>
  </sheetData>
  <mergeCells count="290">
    <mergeCell ref="J243:K243"/>
    <mergeCell ref="J244:K244"/>
    <mergeCell ref="J245:K245"/>
    <mergeCell ref="J246:K246"/>
    <mergeCell ref="J247:K247"/>
    <mergeCell ref="J248:K248"/>
    <mergeCell ref="J249:K249"/>
    <mergeCell ref="J250:K250"/>
    <mergeCell ref="J234:K234"/>
    <mergeCell ref="J235:K235"/>
    <mergeCell ref="J236:K236"/>
    <mergeCell ref="J237:K237"/>
    <mergeCell ref="J238:K238"/>
    <mergeCell ref="J239:K239"/>
    <mergeCell ref="J240:K240"/>
    <mergeCell ref="J241:K241"/>
    <mergeCell ref="J242:K242"/>
    <mergeCell ref="K226:L226"/>
    <mergeCell ref="F227:G227"/>
    <mergeCell ref="J227:K227"/>
    <mergeCell ref="J228:K228"/>
    <mergeCell ref="J229:K229"/>
    <mergeCell ref="J230:K230"/>
    <mergeCell ref="J231:K231"/>
    <mergeCell ref="J232:K232"/>
    <mergeCell ref="J233:K233"/>
    <mergeCell ref="F77:G77"/>
    <mergeCell ref="F102:G102"/>
    <mergeCell ref="F127:G127"/>
    <mergeCell ref="F152:G152"/>
    <mergeCell ref="F177:G177"/>
    <mergeCell ref="F202:G202"/>
    <mergeCell ref="A226:B226"/>
    <mergeCell ref="C226:E226"/>
    <mergeCell ref="G226:J226"/>
    <mergeCell ref="J3:K3"/>
    <mergeCell ref="J4:K4"/>
    <mergeCell ref="J5:K5"/>
    <mergeCell ref="J6:K6"/>
    <mergeCell ref="J7:K7"/>
    <mergeCell ref="J8:K8"/>
    <mergeCell ref="A1:B1"/>
    <mergeCell ref="C1:E1"/>
    <mergeCell ref="G1:J1"/>
    <mergeCell ref="K1:L1"/>
    <mergeCell ref="F2:G2"/>
    <mergeCell ref="J2:K2"/>
    <mergeCell ref="J15:K15"/>
    <mergeCell ref="J16:K16"/>
    <mergeCell ref="J17:K17"/>
    <mergeCell ref="J18:K18"/>
    <mergeCell ref="J19:K19"/>
    <mergeCell ref="J20:K20"/>
    <mergeCell ref="J9:K9"/>
    <mergeCell ref="J10:K10"/>
    <mergeCell ref="J11:K11"/>
    <mergeCell ref="J12:K12"/>
    <mergeCell ref="J13:K13"/>
    <mergeCell ref="J14:K14"/>
    <mergeCell ref="J27:K27"/>
    <mergeCell ref="J28:K28"/>
    <mergeCell ref="J29:K29"/>
    <mergeCell ref="J30:K30"/>
    <mergeCell ref="J31:K31"/>
    <mergeCell ref="J21:K21"/>
    <mergeCell ref="J22:K22"/>
    <mergeCell ref="J23:K23"/>
    <mergeCell ref="J24:K24"/>
    <mergeCell ref="J25:K25"/>
    <mergeCell ref="A26:B26"/>
    <mergeCell ref="C26:E26"/>
    <mergeCell ref="G26:J26"/>
    <mergeCell ref="K26:L26"/>
    <mergeCell ref="F27:G27"/>
    <mergeCell ref="J38:K38"/>
    <mergeCell ref="J39:K39"/>
    <mergeCell ref="J40:K40"/>
    <mergeCell ref="J41:K41"/>
    <mergeCell ref="J42:K42"/>
    <mergeCell ref="J43:K43"/>
    <mergeCell ref="J32:K32"/>
    <mergeCell ref="J33:K33"/>
    <mergeCell ref="J34:K34"/>
    <mergeCell ref="J35:K35"/>
    <mergeCell ref="J36:K36"/>
    <mergeCell ref="J37:K37"/>
    <mergeCell ref="J50:K50"/>
    <mergeCell ref="A51:B51"/>
    <mergeCell ref="C51:E51"/>
    <mergeCell ref="G51:J51"/>
    <mergeCell ref="K51:L51"/>
    <mergeCell ref="J52:K52"/>
    <mergeCell ref="J44:K44"/>
    <mergeCell ref="J45:K45"/>
    <mergeCell ref="J46:K46"/>
    <mergeCell ref="J47:K47"/>
    <mergeCell ref="J48:K48"/>
    <mergeCell ref="J49:K49"/>
    <mergeCell ref="F52:G52"/>
    <mergeCell ref="J59:K59"/>
    <mergeCell ref="J60:K60"/>
    <mergeCell ref="J61:K61"/>
    <mergeCell ref="J62:K62"/>
    <mergeCell ref="J63:K63"/>
    <mergeCell ref="J64:K64"/>
    <mergeCell ref="J53:K53"/>
    <mergeCell ref="J54:K54"/>
    <mergeCell ref="J55:K55"/>
    <mergeCell ref="J56:K56"/>
    <mergeCell ref="J57:K57"/>
    <mergeCell ref="J58:K58"/>
    <mergeCell ref="A76:B76"/>
    <mergeCell ref="C76:E76"/>
    <mergeCell ref="G76:J76"/>
    <mergeCell ref="K76:L76"/>
    <mergeCell ref="J65:K65"/>
    <mergeCell ref="J66:K66"/>
    <mergeCell ref="J67:K67"/>
    <mergeCell ref="J68:K68"/>
    <mergeCell ref="J69:K69"/>
    <mergeCell ref="J70:K70"/>
    <mergeCell ref="J77:K77"/>
    <mergeCell ref="J78:K78"/>
    <mergeCell ref="J79:K79"/>
    <mergeCell ref="J80:K80"/>
    <mergeCell ref="J81:K81"/>
    <mergeCell ref="J82:K82"/>
    <mergeCell ref="J71:K71"/>
    <mergeCell ref="J72:K72"/>
    <mergeCell ref="J73:K73"/>
    <mergeCell ref="J74:K74"/>
    <mergeCell ref="J75:K75"/>
    <mergeCell ref="J89:K89"/>
    <mergeCell ref="J90:K90"/>
    <mergeCell ref="J91:K91"/>
    <mergeCell ref="J92:K92"/>
    <mergeCell ref="J93:K93"/>
    <mergeCell ref="J94:K94"/>
    <mergeCell ref="J83:K83"/>
    <mergeCell ref="J84:K84"/>
    <mergeCell ref="J85:K85"/>
    <mergeCell ref="J86:K86"/>
    <mergeCell ref="J87:K87"/>
    <mergeCell ref="J88:K88"/>
    <mergeCell ref="A101:B101"/>
    <mergeCell ref="C101:E101"/>
    <mergeCell ref="G101:J101"/>
    <mergeCell ref="K101:L101"/>
    <mergeCell ref="J102:K102"/>
    <mergeCell ref="J103:K103"/>
    <mergeCell ref="J95:K95"/>
    <mergeCell ref="J96:K96"/>
    <mergeCell ref="J97:K97"/>
    <mergeCell ref="J98:K98"/>
    <mergeCell ref="J99:K99"/>
    <mergeCell ref="J100:K100"/>
    <mergeCell ref="J110:K110"/>
    <mergeCell ref="J111:K111"/>
    <mergeCell ref="J112:K112"/>
    <mergeCell ref="J113:K113"/>
    <mergeCell ref="J114:K114"/>
    <mergeCell ref="J115:K115"/>
    <mergeCell ref="J104:K104"/>
    <mergeCell ref="J105:K105"/>
    <mergeCell ref="J106:K106"/>
    <mergeCell ref="J107:K107"/>
    <mergeCell ref="J108:K108"/>
    <mergeCell ref="J109:K109"/>
    <mergeCell ref="A126:B126"/>
    <mergeCell ref="C126:E126"/>
    <mergeCell ref="G126:J126"/>
    <mergeCell ref="K126:L126"/>
    <mergeCell ref="J116:K116"/>
    <mergeCell ref="J117:K117"/>
    <mergeCell ref="J118:K118"/>
    <mergeCell ref="J119:K119"/>
    <mergeCell ref="J120:K120"/>
    <mergeCell ref="J121:K121"/>
    <mergeCell ref="J127:K127"/>
    <mergeCell ref="J128:K128"/>
    <mergeCell ref="J129:K129"/>
    <mergeCell ref="J130:K130"/>
    <mergeCell ref="J131:K131"/>
    <mergeCell ref="J132:K132"/>
    <mergeCell ref="J122:K122"/>
    <mergeCell ref="J123:K123"/>
    <mergeCell ref="J124:K124"/>
    <mergeCell ref="J125:K125"/>
    <mergeCell ref="J139:K139"/>
    <mergeCell ref="J140:K140"/>
    <mergeCell ref="J141:K141"/>
    <mergeCell ref="J142:K142"/>
    <mergeCell ref="J143:K143"/>
    <mergeCell ref="J144:K144"/>
    <mergeCell ref="J133:K133"/>
    <mergeCell ref="J134:K134"/>
    <mergeCell ref="J135:K135"/>
    <mergeCell ref="J136:K136"/>
    <mergeCell ref="J137:K137"/>
    <mergeCell ref="J138:K138"/>
    <mergeCell ref="A151:B151"/>
    <mergeCell ref="C151:E151"/>
    <mergeCell ref="G151:J151"/>
    <mergeCell ref="K151:L151"/>
    <mergeCell ref="J152:K152"/>
    <mergeCell ref="J153:K153"/>
    <mergeCell ref="J145:K145"/>
    <mergeCell ref="J146:K146"/>
    <mergeCell ref="J147:K147"/>
    <mergeCell ref="J148:K148"/>
    <mergeCell ref="J149:K149"/>
    <mergeCell ref="J150:K150"/>
    <mergeCell ref="J160:K160"/>
    <mergeCell ref="J161:K161"/>
    <mergeCell ref="J162:K162"/>
    <mergeCell ref="J163:K163"/>
    <mergeCell ref="J164:K164"/>
    <mergeCell ref="J165:K165"/>
    <mergeCell ref="J154:K154"/>
    <mergeCell ref="J155:K155"/>
    <mergeCell ref="J156:K156"/>
    <mergeCell ref="J157:K157"/>
    <mergeCell ref="J158:K158"/>
    <mergeCell ref="J159:K159"/>
    <mergeCell ref="A176:B176"/>
    <mergeCell ref="C176:E176"/>
    <mergeCell ref="G176:J176"/>
    <mergeCell ref="K176:L176"/>
    <mergeCell ref="J166:K166"/>
    <mergeCell ref="J167:K167"/>
    <mergeCell ref="J168:K168"/>
    <mergeCell ref="J169:K169"/>
    <mergeCell ref="J170:K170"/>
    <mergeCell ref="J171:K171"/>
    <mergeCell ref="J177:K177"/>
    <mergeCell ref="J178:K178"/>
    <mergeCell ref="J179:K179"/>
    <mergeCell ref="J180:K180"/>
    <mergeCell ref="J181:K181"/>
    <mergeCell ref="J182:K182"/>
    <mergeCell ref="J172:K172"/>
    <mergeCell ref="J173:K173"/>
    <mergeCell ref="J174:K174"/>
    <mergeCell ref="J175:K175"/>
    <mergeCell ref="J189:K189"/>
    <mergeCell ref="J190:K190"/>
    <mergeCell ref="J191:K191"/>
    <mergeCell ref="J192:K192"/>
    <mergeCell ref="J193:K193"/>
    <mergeCell ref="J194:K194"/>
    <mergeCell ref="J183:K183"/>
    <mergeCell ref="J184:K184"/>
    <mergeCell ref="J185:K185"/>
    <mergeCell ref="J186:K186"/>
    <mergeCell ref="J187:K187"/>
    <mergeCell ref="J188:K188"/>
    <mergeCell ref="A201:B201"/>
    <mergeCell ref="C201:E201"/>
    <mergeCell ref="G201:J201"/>
    <mergeCell ref="K201:L201"/>
    <mergeCell ref="J202:K202"/>
    <mergeCell ref="J203:K203"/>
    <mergeCell ref="J195:K195"/>
    <mergeCell ref="J196:K196"/>
    <mergeCell ref="J197:K197"/>
    <mergeCell ref="J198:K198"/>
    <mergeCell ref="J199:K199"/>
    <mergeCell ref="J200:K200"/>
    <mergeCell ref="J210:K210"/>
    <mergeCell ref="J211:K211"/>
    <mergeCell ref="J212:K212"/>
    <mergeCell ref="J213:K213"/>
    <mergeCell ref="J214:K214"/>
    <mergeCell ref="J215:K215"/>
    <mergeCell ref="J204:K204"/>
    <mergeCell ref="J205:K205"/>
    <mergeCell ref="J206:K206"/>
    <mergeCell ref="J207:K207"/>
    <mergeCell ref="J208:K208"/>
    <mergeCell ref="J209:K209"/>
    <mergeCell ref="J222:K222"/>
    <mergeCell ref="J223:K223"/>
    <mergeCell ref="J224:K224"/>
    <mergeCell ref="J225:K225"/>
    <mergeCell ref="J216:K216"/>
    <mergeCell ref="J217:K217"/>
    <mergeCell ref="J218:K218"/>
    <mergeCell ref="J219:K219"/>
    <mergeCell ref="J220:K220"/>
    <mergeCell ref="J221:K221"/>
  </mergeCells>
  <phoneticPr fontId="8"/>
  <dataValidations count="2">
    <dataValidation type="list" allowBlank="1" showInputMessage="1" showErrorMessage="1" sqref="D125 D100 D50 D75 D25 D225 D150 D175 D200 D250" xr:uid="{378D6D05-4814-4C73-8567-458440DE1723}">
      <formula1>"サンゲツ,リリカラ,東リ,シンコール,ニップ,トキワ,タジマ,量産クロス,量産タイルカーペット,＃１０００,タイルカーペット,カーペット,塩ビタイル,ノンスリップシート,トミタ,"</formula1>
    </dataValidation>
    <dataValidation type="list" allowBlank="1" showInputMessage="1" showErrorMessage="1" sqref="H175 H150 H100 H225 H250 H125 H50 H75 H200" xr:uid="{2743C625-6013-461A-8F2E-ABFBF574F6A1}">
      <formula1>"㎡,ｍ,ヶ所,式,枚,組,箱,ヶ,ケース,台,本,段,セット,人工"</formula1>
    </dataValidation>
  </dataValidations>
  <pageMargins left="0.91" right="0" top="0.39" bottom="0.2" header="0.37" footer="0.2"/>
  <pageSetup paperSize="9" scale="95" orientation="landscape" r:id="rId1"/>
  <headerFooter alignWithMargins="0"/>
  <rowBreaks count="9" manualBreakCount="9">
    <brk id="25" max="11" man="1"/>
    <brk id="50" max="16383" man="1"/>
    <brk id="75" max="16383" man="1"/>
    <brk id="100" max="11" man="1"/>
    <brk id="125" max="11" man="1"/>
    <brk id="150" min="2" max="23" man="1"/>
    <brk id="175" min="2" max="23" man="1"/>
    <brk id="200" min="2" max="23" man="1"/>
    <brk id="225" max="11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FA44AE-CDF5-471D-B670-76E58835FFD5}">
          <x14:formula1>
            <xm:f>マスタ!$D$4:$D$25</xm:f>
          </x14:formula1>
          <xm:sqref>C3:C24 C203:C224 C28:C49 C53:C74 C78:C99 C103:C124 C128:C149 C153:C174 C178:C199 C228:C249</xm:sqref>
        </x14:dataValidation>
        <x14:dataValidation type="list" allowBlank="1" showInputMessage="1" showErrorMessage="1" xr:uid="{4860132B-5940-4E7C-B50B-A7DA692D8315}">
          <x14:formula1>
            <xm:f>マスタ!$B$4:$B$30</xm:f>
          </x14:formula1>
          <xm:sqref>H3:H25 H203:H224 H28:H49 H53:H74 H78:H99 H103:H124 H128:H149 H153:H174 H178:H199 H228:H249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372B6-6F0F-433E-9938-BFEFAE604E27}">
  <dimension ref="A1:F50"/>
  <sheetViews>
    <sheetView topLeftCell="A6" workbookViewId="0">
      <selection activeCell="E13" sqref="E13"/>
    </sheetView>
  </sheetViews>
  <sheetFormatPr defaultRowHeight="13.5" x14ac:dyDescent="0.15"/>
  <cols>
    <col min="1" max="8" width="15.625" customWidth="1"/>
  </cols>
  <sheetData>
    <row r="1" spans="1:6" ht="30" customHeight="1" x14ac:dyDescent="0.15">
      <c r="A1" s="156"/>
      <c r="B1" s="156"/>
      <c r="C1" s="156"/>
      <c r="D1" s="156"/>
      <c r="E1" s="156"/>
      <c r="F1" s="156"/>
    </row>
    <row r="2" spans="1:6" ht="30" customHeight="1" x14ac:dyDescent="0.15">
      <c r="A2" s="156"/>
      <c r="B2" s="157"/>
      <c r="C2" s="158"/>
      <c r="D2" s="158"/>
      <c r="E2" s="157"/>
    </row>
    <row r="3" spans="1:6" ht="30" customHeight="1" x14ac:dyDescent="0.15">
      <c r="B3" s="6" t="s">
        <v>27</v>
      </c>
      <c r="C3" s="6" t="s">
        <v>28</v>
      </c>
      <c r="D3" s="6" t="s">
        <v>29</v>
      </c>
      <c r="E3" s="6" t="s">
        <v>30</v>
      </c>
    </row>
    <row r="4" spans="1:6" ht="30" customHeight="1" x14ac:dyDescent="0.15">
      <c r="B4" s="7" t="s">
        <v>32</v>
      </c>
      <c r="C4" s="8" t="s">
        <v>31</v>
      </c>
      <c r="D4" s="7" t="s">
        <v>59</v>
      </c>
      <c r="E4" s="7" t="s">
        <v>70</v>
      </c>
    </row>
    <row r="5" spans="1:6" ht="30" customHeight="1" x14ac:dyDescent="0.15">
      <c r="B5" s="7" t="s">
        <v>33</v>
      </c>
      <c r="C5" s="8" t="s">
        <v>47</v>
      </c>
      <c r="D5" s="7" t="s">
        <v>60</v>
      </c>
      <c r="E5" s="7" t="s">
        <v>71</v>
      </c>
    </row>
    <row r="6" spans="1:6" ht="30" customHeight="1" x14ac:dyDescent="0.15">
      <c r="B6" s="7" t="s">
        <v>34</v>
      </c>
      <c r="C6" s="8" t="s">
        <v>48</v>
      </c>
      <c r="D6" s="7" t="s">
        <v>61</v>
      </c>
      <c r="E6" s="7" t="s">
        <v>72</v>
      </c>
    </row>
    <row r="7" spans="1:6" ht="30" customHeight="1" x14ac:dyDescent="0.15">
      <c r="B7" s="7" t="s">
        <v>35</v>
      </c>
      <c r="C7" s="8" t="s">
        <v>49</v>
      </c>
      <c r="D7" s="7" t="s">
        <v>65</v>
      </c>
      <c r="E7" s="7" t="s">
        <v>73</v>
      </c>
    </row>
    <row r="8" spans="1:6" ht="30" customHeight="1" x14ac:dyDescent="0.15">
      <c r="B8" s="7" t="s">
        <v>36</v>
      </c>
      <c r="C8" s="8" t="s">
        <v>50</v>
      </c>
      <c r="D8" s="7" t="s">
        <v>66</v>
      </c>
      <c r="E8" s="7" t="s">
        <v>74</v>
      </c>
    </row>
    <row r="9" spans="1:6" ht="30" customHeight="1" x14ac:dyDescent="0.15">
      <c r="B9" s="7" t="s">
        <v>37</v>
      </c>
      <c r="C9" s="8" t="s">
        <v>51</v>
      </c>
      <c r="D9" s="7" t="s">
        <v>62</v>
      </c>
      <c r="E9" s="7" t="s">
        <v>75</v>
      </c>
    </row>
    <row r="10" spans="1:6" ht="30" customHeight="1" x14ac:dyDescent="0.15">
      <c r="B10" s="7" t="s">
        <v>38</v>
      </c>
      <c r="C10" s="8" t="s">
        <v>52</v>
      </c>
      <c r="D10" s="7" t="s">
        <v>67</v>
      </c>
      <c r="E10" s="7" t="s">
        <v>76</v>
      </c>
    </row>
    <row r="11" spans="1:6" ht="30" customHeight="1" x14ac:dyDescent="0.15">
      <c r="B11" s="7" t="s">
        <v>39</v>
      </c>
      <c r="C11" s="8" t="s">
        <v>53</v>
      </c>
      <c r="D11" s="7" t="s">
        <v>64</v>
      </c>
      <c r="E11" s="7" t="s">
        <v>77</v>
      </c>
    </row>
    <row r="12" spans="1:6" ht="30" customHeight="1" x14ac:dyDescent="0.15">
      <c r="B12" s="7" t="s">
        <v>40</v>
      </c>
      <c r="C12" s="8" t="s">
        <v>54</v>
      </c>
      <c r="D12" s="7" t="s">
        <v>63</v>
      </c>
      <c r="E12" s="7" t="s">
        <v>78</v>
      </c>
    </row>
    <row r="13" spans="1:6" ht="30" customHeight="1" x14ac:dyDescent="0.15">
      <c r="B13" s="7" t="s">
        <v>44</v>
      </c>
      <c r="C13" s="8" t="s">
        <v>55</v>
      </c>
      <c r="D13" s="7" t="s">
        <v>68</v>
      </c>
      <c r="E13" s="7" t="s">
        <v>79</v>
      </c>
    </row>
    <row r="14" spans="1:6" ht="30" customHeight="1" x14ac:dyDescent="0.15">
      <c r="B14" s="7" t="s">
        <v>45</v>
      </c>
      <c r="C14" s="8" t="s">
        <v>56</v>
      </c>
      <c r="D14" s="7" t="s">
        <v>69</v>
      </c>
      <c r="E14" s="7"/>
    </row>
    <row r="15" spans="1:6" ht="30" customHeight="1" x14ac:dyDescent="0.15">
      <c r="B15" s="7" t="s">
        <v>41</v>
      </c>
      <c r="C15" s="8" t="s">
        <v>57</v>
      </c>
      <c r="D15" s="7"/>
      <c r="E15" s="7"/>
    </row>
    <row r="16" spans="1:6" ht="30" customHeight="1" x14ac:dyDescent="0.15">
      <c r="B16" s="7" t="s">
        <v>42</v>
      </c>
      <c r="C16" s="8" t="s">
        <v>58</v>
      </c>
      <c r="D16" s="7"/>
      <c r="E16" s="7"/>
    </row>
    <row r="17" spans="2:5" ht="30" customHeight="1" x14ac:dyDescent="0.15">
      <c r="B17" s="7" t="s">
        <v>43</v>
      </c>
      <c r="C17" s="7"/>
      <c r="D17" s="7"/>
      <c r="E17" s="7"/>
    </row>
    <row r="18" spans="2:5" ht="30" customHeight="1" x14ac:dyDescent="0.15">
      <c r="B18" s="7" t="s">
        <v>46</v>
      </c>
      <c r="C18" s="7"/>
      <c r="D18" s="7"/>
      <c r="E18" s="7"/>
    </row>
    <row r="19" spans="2:5" ht="30" customHeight="1" x14ac:dyDescent="0.15">
      <c r="B19" s="156"/>
      <c r="C19" s="156"/>
      <c r="D19" s="156"/>
      <c r="E19" s="156"/>
    </row>
    <row r="20" spans="2:5" ht="30" customHeight="1" x14ac:dyDescent="0.15">
      <c r="B20" s="156"/>
      <c r="C20" s="156"/>
      <c r="D20" s="156"/>
      <c r="E20" s="156"/>
    </row>
    <row r="21" spans="2:5" ht="30" customHeight="1" x14ac:dyDescent="0.15">
      <c r="B21" s="156"/>
      <c r="C21" s="156"/>
      <c r="D21" s="156"/>
      <c r="E21" s="156"/>
    </row>
    <row r="22" spans="2:5" ht="30" customHeight="1" x14ac:dyDescent="0.15">
      <c r="B22" s="156"/>
      <c r="C22" s="156"/>
      <c r="D22" s="156"/>
      <c r="E22" s="156"/>
    </row>
    <row r="23" spans="2:5" ht="30" customHeight="1" x14ac:dyDescent="0.15">
      <c r="B23" s="156"/>
      <c r="C23" s="156"/>
      <c r="D23" s="156"/>
      <c r="E23" s="156"/>
    </row>
    <row r="24" spans="2:5" ht="30" customHeight="1" x14ac:dyDescent="0.15">
      <c r="B24" s="156"/>
      <c r="C24" s="156"/>
      <c r="D24" s="156"/>
      <c r="E24" s="156"/>
    </row>
    <row r="25" spans="2:5" ht="30" customHeight="1" x14ac:dyDescent="0.15">
      <c r="B25" s="156"/>
      <c r="C25" s="156"/>
      <c r="D25" s="156"/>
      <c r="E25" s="156"/>
    </row>
    <row r="26" spans="2:5" ht="30" customHeight="1" x14ac:dyDescent="0.15">
      <c r="B26" s="156"/>
      <c r="C26" s="156"/>
      <c r="D26" s="156"/>
      <c r="E26" s="156"/>
    </row>
    <row r="27" spans="2:5" ht="30" customHeight="1" x14ac:dyDescent="0.15">
      <c r="B27" s="156"/>
      <c r="C27" s="156"/>
      <c r="D27" s="156"/>
      <c r="E27" s="156"/>
    </row>
    <row r="28" spans="2:5" ht="30" customHeight="1" x14ac:dyDescent="0.15">
      <c r="B28" s="156"/>
      <c r="C28" s="156"/>
      <c r="D28" s="156"/>
      <c r="E28" s="156"/>
    </row>
    <row r="29" spans="2:5" ht="30" customHeight="1" x14ac:dyDescent="0.15">
      <c r="B29" s="156"/>
      <c r="C29" s="156"/>
      <c r="D29" s="156"/>
      <c r="E29" s="156"/>
    </row>
    <row r="30" spans="2:5" ht="30" customHeight="1" x14ac:dyDescent="0.15">
      <c r="B30" s="156"/>
      <c r="C30" s="156"/>
      <c r="D30" s="156"/>
      <c r="E30" s="156"/>
    </row>
    <row r="31" spans="2:5" ht="30" customHeight="1" x14ac:dyDescent="0.15">
      <c r="B31" s="156"/>
      <c r="C31" s="156"/>
      <c r="D31" s="156"/>
      <c r="E31" s="156"/>
    </row>
    <row r="32" spans="2:5" ht="30" customHeight="1" x14ac:dyDescent="0.15">
      <c r="B32" s="156"/>
      <c r="C32" s="156"/>
      <c r="D32" s="156"/>
      <c r="E32" s="156"/>
    </row>
    <row r="33" spans="1:5" ht="30" customHeight="1" x14ac:dyDescent="0.15">
      <c r="B33" s="156"/>
      <c r="C33" s="156"/>
      <c r="D33" s="156"/>
      <c r="E33" s="156"/>
    </row>
    <row r="34" spans="1:5" ht="30" customHeight="1" x14ac:dyDescent="0.15">
      <c r="B34" s="156"/>
      <c r="C34" s="156"/>
      <c r="D34" s="156"/>
      <c r="E34" s="156"/>
    </row>
    <row r="35" spans="1:5" ht="30" customHeight="1" x14ac:dyDescent="0.15">
      <c r="B35" s="156"/>
      <c r="C35" s="156"/>
      <c r="D35" s="156"/>
      <c r="E35" s="156"/>
    </row>
    <row r="36" spans="1:5" ht="30" customHeight="1" x14ac:dyDescent="0.15">
      <c r="B36" s="156"/>
      <c r="C36" s="156"/>
      <c r="D36" s="156"/>
      <c r="E36" s="156"/>
    </row>
    <row r="37" spans="1:5" ht="30" customHeight="1" x14ac:dyDescent="0.15">
      <c r="B37" s="156"/>
      <c r="C37" s="156"/>
      <c r="D37" s="156"/>
      <c r="E37" s="156"/>
    </row>
    <row r="38" spans="1:5" ht="30" customHeight="1" x14ac:dyDescent="0.15">
      <c r="B38" s="156"/>
      <c r="C38" s="156"/>
      <c r="D38" s="156"/>
      <c r="E38" s="156"/>
    </row>
    <row r="39" spans="1:5" ht="30" customHeight="1" x14ac:dyDescent="0.15">
      <c r="B39" s="156"/>
      <c r="C39" s="156"/>
      <c r="D39" s="156"/>
      <c r="E39" s="156"/>
    </row>
    <row r="40" spans="1:5" ht="30" customHeight="1" x14ac:dyDescent="0.15">
      <c r="B40" s="156"/>
      <c r="C40" s="156"/>
      <c r="D40" s="156"/>
      <c r="E40" s="156"/>
    </row>
    <row r="41" spans="1:5" ht="30" customHeight="1" x14ac:dyDescent="0.15">
      <c r="B41" s="156"/>
      <c r="C41" s="156"/>
      <c r="D41" s="156"/>
      <c r="E41" s="156"/>
    </row>
    <row r="42" spans="1:5" ht="30" customHeight="1" x14ac:dyDescent="0.15">
      <c r="B42" s="156"/>
      <c r="C42" s="156"/>
      <c r="D42" s="156"/>
      <c r="E42" s="156"/>
    </row>
    <row r="43" spans="1:5" ht="30" customHeight="1" x14ac:dyDescent="0.15">
      <c r="B43" s="156"/>
      <c r="C43" s="156"/>
      <c r="D43" s="156"/>
      <c r="E43" s="156"/>
    </row>
    <row r="44" spans="1:5" ht="30" customHeight="1" x14ac:dyDescent="0.15">
      <c r="B44" s="156"/>
      <c r="C44" s="156"/>
      <c r="D44" s="156"/>
      <c r="E44" s="156"/>
    </row>
    <row r="45" spans="1:5" ht="30" customHeight="1" x14ac:dyDescent="0.15">
      <c r="B45" s="156"/>
      <c r="C45" s="156"/>
      <c r="D45" s="156"/>
      <c r="E45" s="156"/>
    </row>
    <row r="46" spans="1:5" ht="30" customHeight="1" x14ac:dyDescent="0.15">
      <c r="A46" s="156"/>
      <c r="B46" s="156"/>
      <c r="C46" s="156"/>
      <c r="D46" s="156"/>
      <c r="E46" s="156"/>
    </row>
    <row r="47" spans="1:5" ht="30" customHeight="1" x14ac:dyDescent="0.15">
      <c r="A47" s="156"/>
      <c r="B47" s="156"/>
      <c r="C47" s="156"/>
      <c r="D47" s="156"/>
      <c r="E47" s="156"/>
    </row>
    <row r="48" spans="1:5" ht="30" customHeight="1" x14ac:dyDescent="0.15">
      <c r="A48" s="156"/>
      <c r="B48" s="156"/>
      <c r="C48" s="156"/>
      <c r="D48" s="156"/>
      <c r="E48" s="156"/>
    </row>
    <row r="49" spans="1:5" ht="30" customHeight="1" x14ac:dyDescent="0.15">
      <c r="A49" s="156"/>
      <c r="B49" s="156"/>
      <c r="C49" s="156"/>
      <c r="D49" s="156"/>
      <c r="E49" s="156"/>
    </row>
    <row r="50" spans="1:5" ht="30" customHeight="1" x14ac:dyDescent="0.15">
      <c r="A50" s="156"/>
      <c r="B50" s="156"/>
      <c r="C50" s="156"/>
      <c r="D50" s="156"/>
      <c r="E50" s="156"/>
    </row>
  </sheetData>
  <phoneticPr fontId="8"/>
  <dataValidations count="4">
    <dataValidation type="list" allowBlank="1" showInputMessage="1" showErrorMessage="1" sqref="C2" xr:uid="{09041F6C-E390-4222-B0DD-724D5673145D}">
      <formula1>#REF!</formula1>
    </dataValidation>
    <dataValidation type="list" allowBlank="1" showInputMessage="1" showErrorMessage="1" sqref="E2" xr:uid="{6E2BDB26-21FE-4473-8BA0-EB277F925CAC}">
      <formula1>#REF!</formula1>
    </dataValidation>
    <dataValidation type="list" allowBlank="1" showInputMessage="1" showErrorMessage="1" sqref="B2" xr:uid="{49B7B395-E23C-4799-BCD3-382E7805700C}">
      <formula1>#REF!</formula1>
    </dataValidation>
    <dataValidation type="list" allowBlank="1" showInputMessage="1" showErrorMessage="1" sqref="D2" xr:uid="{2FEA8388-E9D5-4244-B384-76F0AB4695F3}">
      <formula1>#REF!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4</vt:i4>
      </vt:variant>
    </vt:vector>
  </HeadingPairs>
  <TitlesOfParts>
    <vt:vector size="7" baseType="lpstr">
      <vt:lpstr>表紙</vt:lpstr>
      <vt:lpstr>内訳書</vt:lpstr>
      <vt:lpstr>マスタ</vt:lpstr>
      <vt:lpstr>表紙!_msoanchor_1</vt:lpstr>
      <vt:lpstr>表紙!_msocom_1</vt:lpstr>
      <vt:lpstr>内訳書!Print_Area</vt:lpstr>
      <vt:lpstr>表紙!Print_Area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カーペット 東京</dc:creator>
  <cp:lastModifiedBy>カーペット 東京</cp:lastModifiedBy>
  <cp:lastPrinted>2026-09-18T21:40:18Z</cp:lastPrinted>
  <dcterms:created xsi:type="dcterms:W3CDTF">2003-08-28T02:42:14Z</dcterms:created>
  <dcterms:modified xsi:type="dcterms:W3CDTF">2026-09-23T08:25:45Z</dcterms:modified>
</cp:coreProperties>
</file>